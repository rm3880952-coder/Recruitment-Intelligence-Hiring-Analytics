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549c53149421c95/Recruitment_Intelligence_Hiring_Analytics)/"/>
    </mc:Choice>
  </mc:AlternateContent>
  <xr:revisionPtr revIDLastSave="153" documentId="13_ncr:1_{8EEACFBD-FC6B-4277-8375-565AE4584D20}" xr6:coauthVersionLast="47" xr6:coauthVersionMax="47" xr10:uidLastSave="{12782053-08A6-456A-B833-472C2BCF006F}"/>
  <bookViews>
    <workbookView xWindow="7428" yWindow="0" windowWidth="15708" windowHeight="12336" firstSheet="1" activeTab="2" xr2:uid="{00000000-000D-0000-FFFF-FFFF00000000}"/>
  </bookViews>
  <sheets>
    <sheet name="Recruitment Dataset" sheetId="1" r:id="rId1"/>
    <sheet name="Recruitment Calculations" sheetId="2" r:id="rId2"/>
    <sheet name="Recruitment Dashboard" sheetId="3" r:id="rId3"/>
  </sheets>
  <externalReferences>
    <externalReference r:id="rId4"/>
  </externalReferences>
  <definedNames>
    <definedName name="_xlnm._FilterDatabase" localSheetId="0" hidden="1">'Recruitment Dataset'!$A$1:$R$51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</calcChain>
</file>

<file path=xl/sharedStrings.xml><?xml version="1.0" encoding="utf-8"?>
<sst xmlns="http://schemas.openxmlformats.org/spreadsheetml/2006/main" count="884" uniqueCount="254">
  <si>
    <t xml:space="preserve">Candidate ID </t>
  </si>
  <si>
    <t>Candidate Name</t>
  </si>
  <si>
    <t>Gender</t>
  </si>
  <si>
    <t>Age</t>
  </si>
  <si>
    <t>Department</t>
  </si>
  <si>
    <t>Job Role</t>
  </si>
  <si>
    <t>Job Level</t>
  </si>
  <si>
    <t>Source</t>
  </si>
  <si>
    <t>Applied Date</t>
  </si>
  <si>
    <t>Screening Status</t>
  </si>
  <si>
    <t>Interview Status</t>
  </si>
  <si>
    <t>Final Status</t>
  </si>
  <si>
    <t>Offer Status</t>
  </si>
  <si>
    <t>Joining Status</t>
  </si>
  <si>
    <t>Time to Hire (Days)</t>
  </si>
  <si>
    <t>Recruitment Cost</t>
  </si>
  <si>
    <t>Recruiter</t>
  </si>
  <si>
    <t>Location</t>
  </si>
  <si>
    <t>C001</t>
  </si>
  <si>
    <t>Candidate 01</t>
  </si>
  <si>
    <t>Female</t>
  </si>
  <si>
    <t>HR</t>
  </si>
  <si>
    <t>HR Executive</t>
  </si>
  <si>
    <t>Mid-Level</t>
  </si>
  <si>
    <t>LinkedIn</t>
  </si>
  <si>
    <t>Passed</t>
  </si>
  <si>
    <t>Selected</t>
  </si>
  <si>
    <t>Accepted</t>
  </si>
  <si>
    <t>Joined</t>
  </si>
  <si>
    <t>Recruiter A</t>
  </si>
  <si>
    <t>Lucknow</t>
  </si>
  <si>
    <t>C002</t>
  </si>
  <si>
    <t>Candidate 02</t>
  </si>
  <si>
    <t>Male</t>
  </si>
  <si>
    <t>Front Office</t>
  </si>
  <si>
    <t>Front Office Executive</t>
  </si>
  <si>
    <t>Entry-Level</t>
  </si>
  <si>
    <t>Naukri</t>
  </si>
  <si>
    <t>Recruiter B</t>
  </si>
  <si>
    <t>C003</t>
  </si>
  <si>
    <t>Candidate 03</t>
  </si>
  <si>
    <t>Finance</t>
  </si>
  <si>
    <t>Accounts Executive</t>
  </si>
  <si>
    <t>Indeed</t>
  </si>
  <si>
    <t>Rejected</t>
  </si>
  <si>
    <t>Not Offered</t>
  </si>
  <si>
    <t>Not Joined</t>
  </si>
  <si>
    <t>Kanpur</t>
  </si>
  <si>
    <t>C004</t>
  </si>
  <si>
    <t>Candidate 04</t>
  </si>
  <si>
    <t>Housekeeping</t>
  </si>
  <si>
    <t>Housekeeping Supervisor</t>
  </si>
  <si>
    <t>Employee Referral</t>
  </si>
  <si>
    <t>Recruiter C</t>
  </si>
  <si>
    <t>Ayodhya</t>
  </si>
  <si>
    <t>C005</t>
  </si>
  <si>
    <t>Candidate 05</t>
  </si>
  <si>
    <t>Marketing</t>
  </si>
  <si>
    <t>Marketing Executive</t>
  </si>
  <si>
    <t>Not Interviewed</t>
  </si>
  <si>
    <t>C006</t>
  </si>
  <si>
    <t>Candidate 06</t>
  </si>
  <si>
    <t>Sales</t>
  </si>
  <si>
    <t>Sales Executive</t>
  </si>
  <si>
    <t>Varanasi</t>
  </si>
  <si>
    <t>C007</t>
  </si>
  <si>
    <t>Candidate 07</t>
  </si>
  <si>
    <t>IT</t>
  </si>
  <si>
    <t>IT Support Executive</t>
  </si>
  <si>
    <t>Declined</t>
  </si>
  <si>
    <t>C008</t>
  </si>
  <si>
    <t>Candidate 08</t>
  </si>
  <si>
    <t>Restaurant</t>
  </si>
  <si>
    <t>Restaurant Supervisor</t>
  </si>
  <si>
    <t>C009</t>
  </si>
  <si>
    <t>Candidate 09</t>
  </si>
  <si>
    <t>Recruitment Coordinator</t>
  </si>
  <si>
    <t>C010</t>
  </si>
  <si>
    <t>Candidate 10</t>
  </si>
  <si>
    <t>Kitchen</t>
  </si>
  <si>
    <t>Sous Chef</t>
  </si>
  <si>
    <t>Senior-Level</t>
  </si>
  <si>
    <t>Gorakhpur</t>
  </si>
  <si>
    <t>C011</t>
  </si>
  <si>
    <t>Candidate 11</t>
  </si>
  <si>
    <t>Guest Relations Executive</t>
  </si>
  <si>
    <t>C012</t>
  </si>
  <si>
    <t>Candidate 12</t>
  </si>
  <si>
    <t>Finance Manager</t>
  </si>
  <si>
    <t>C013</t>
  </si>
  <si>
    <t>Candidate 13</t>
  </si>
  <si>
    <t>Housekeeping Executive</t>
  </si>
  <si>
    <t>C014</t>
  </si>
  <si>
    <t>Candidate 14</t>
  </si>
  <si>
    <t>Restaurant Captain</t>
  </si>
  <si>
    <t>C015</t>
  </si>
  <si>
    <t>Candidate 15</t>
  </si>
  <si>
    <t>Sales Manager</t>
  </si>
  <si>
    <t>C016</t>
  </si>
  <si>
    <t>Candidate 16</t>
  </si>
  <si>
    <t>C017</t>
  </si>
  <si>
    <t>Candidate 17</t>
  </si>
  <si>
    <t>HR Manager</t>
  </si>
  <si>
    <t>C018</t>
  </si>
  <si>
    <t>Candidate 18</t>
  </si>
  <si>
    <t>Commis Chef</t>
  </si>
  <si>
    <t>C019</t>
  </si>
  <si>
    <t>Candidate 19</t>
  </si>
  <si>
    <t>C020</t>
  </si>
  <si>
    <t>Candidate 20</t>
  </si>
  <si>
    <t>Engineering</t>
  </si>
  <si>
    <t>Maintenance Supervisor</t>
  </si>
  <si>
    <t>C021</t>
  </si>
  <si>
    <t>Candidate 21</t>
  </si>
  <si>
    <t>Front Office Associate</t>
  </si>
  <si>
    <t>C022</t>
  </si>
  <si>
    <t>Candidate 22</t>
  </si>
  <si>
    <t>CDP Chef</t>
  </si>
  <si>
    <t>C023</t>
  </si>
  <si>
    <t>Candidate 23</t>
  </si>
  <si>
    <t>C024</t>
  </si>
  <si>
    <t>Candidate 24</t>
  </si>
  <si>
    <t>Business Development Executive</t>
  </si>
  <si>
    <t>C025</t>
  </si>
  <si>
    <t>Candidate 25</t>
  </si>
  <si>
    <t>HR Coordinator</t>
  </si>
  <si>
    <t>C026</t>
  </si>
  <si>
    <t>Candidate 26</t>
  </si>
  <si>
    <t>C027</t>
  </si>
  <si>
    <t>Candidate 27</t>
  </si>
  <si>
    <t>IT Manager</t>
  </si>
  <si>
    <t>C028</t>
  </si>
  <si>
    <t>Candidate 28</t>
  </si>
  <si>
    <t>Housekeeping Associate</t>
  </si>
  <si>
    <t>C029</t>
  </si>
  <si>
    <t>Candidate 29</t>
  </si>
  <si>
    <t>Digital Marketing Executive</t>
  </si>
  <si>
    <t>C030</t>
  </si>
  <si>
    <t>Candidate 30</t>
  </si>
  <si>
    <t>Maintenance Engineer</t>
  </si>
  <si>
    <t>C031</t>
  </si>
  <si>
    <t>Candidate 31</t>
  </si>
  <si>
    <t>C032</t>
  </si>
  <si>
    <t>Candidate 32</t>
  </si>
  <si>
    <t>C033</t>
  </si>
  <si>
    <t>Candidate 33</t>
  </si>
  <si>
    <t>C034</t>
  </si>
  <si>
    <t>Candidate 34</t>
  </si>
  <si>
    <t>C035</t>
  </si>
  <si>
    <t>Candidate 35</t>
  </si>
  <si>
    <t>C036</t>
  </si>
  <si>
    <t>Candidate 36</t>
  </si>
  <si>
    <t>C037</t>
  </si>
  <si>
    <t>Candidate 37</t>
  </si>
  <si>
    <t>System Administrator</t>
  </si>
  <si>
    <t>C038</t>
  </si>
  <si>
    <t>Candidate 38</t>
  </si>
  <si>
    <t>C039</t>
  </si>
  <si>
    <t>Candidate 39</t>
  </si>
  <si>
    <t>Marketing Coordinator</t>
  </si>
  <si>
    <t>C040</t>
  </si>
  <si>
    <t>Candidate 40</t>
  </si>
  <si>
    <t>Chief Engineer</t>
  </si>
  <si>
    <t>C041</t>
  </si>
  <si>
    <t>Candidate 41</t>
  </si>
  <si>
    <t>C042</t>
  </si>
  <si>
    <t>Candidate 42</t>
  </si>
  <si>
    <t>C043</t>
  </si>
  <si>
    <t>Candidate 43</t>
  </si>
  <si>
    <t>Accounts Manager</t>
  </si>
  <si>
    <t>C044</t>
  </si>
  <si>
    <t>Candidate 44</t>
  </si>
  <si>
    <t>C045</t>
  </si>
  <si>
    <t>Candidate 45</t>
  </si>
  <si>
    <t>Recruitment Executive</t>
  </si>
  <si>
    <t>C046</t>
  </si>
  <si>
    <t>Candidate 46</t>
  </si>
  <si>
    <t>Restaurant Manager</t>
  </si>
  <si>
    <t>C047</t>
  </si>
  <si>
    <t>Candidate 47</t>
  </si>
  <si>
    <t>Software Support Executive</t>
  </si>
  <si>
    <t>C048</t>
  </si>
  <si>
    <t>Candidate 48</t>
  </si>
  <si>
    <t>Housekeeping Manager</t>
  </si>
  <si>
    <t>C049</t>
  </si>
  <si>
    <t>Candidate 49</t>
  </si>
  <si>
    <t>Social Media Executive</t>
  </si>
  <si>
    <t>C050</t>
  </si>
  <si>
    <t>Candidate 50</t>
  </si>
  <si>
    <t>RECRUITMENT INTELLIGENCE &amp; HIRING ANALYTICS</t>
  </si>
  <si>
    <t>TOTAL CANDIDATES</t>
  </si>
  <si>
    <t>SELECTED CANDIDATES</t>
  </si>
  <si>
    <t>REJECTED CANDIDATES</t>
  </si>
  <si>
    <t>JOINED CANDIDATES</t>
  </si>
  <si>
    <t>OFFERS ACCEPTED</t>
  </si>
  <si>
    <t>AVERAGE TIME TO HIRE (DAYS)</t>
  </si>
  <si>
    <t>TOTAL RECRUITMENT COST</t>
  </si>
  <si>
    <t>AVERAGE RECRUITMENT COST</t>
  </si>
  <si>
    <t>OFFER ACCEPTANCE RATE</t>
  </si>
  <si>
    <t>SELECTION RATE</t>
  </si>
  <si>
    <t>JOINING RATE</t>
  </si>
  <si>
    <t>REJECTION RATE</t>
  </si>
  <si>
    <t>AVERAGE COST PER JOINED CANDIDATE</t>
  </si>
  <si>
    <t>AVERAGE COST PER SELECTED CANDIDATE</t>
  </si>
  <si>
    <t>OFFERS DECLINED</t>
  </si>
  <si>
    <t>NOT OFFERED</t>
  </si>
  <si>
    <t>OFFER DECLINE RATE</t>
  </si>
  <si>
    <t>CANDIDATES NOT JOINED</t>
  </si>
  <si>
    <t>SOURCE-WISE HIRING ANALYSIS</t>
  </si>
  <si>
    <t>SOURCE</t>
  </si>
  <si>
    <t>DEPARTMENT-WISE HIRING ANALYSIS</t>
  </si>
  <si>
    <t>DEPARTMENT</t>
  </si>
  <si>
    <t>RECRUITER</t>
  </si>
  <si>
    <t>RECRUITER-WISE HIRING ANALYSIS</t>
  </si>
  <si>
    <t>HIRING FUNNEL ANALYSIS</t>
  </si>
  <si>
    <t>STAGE</t>
  </si>
  <si>
    <t>CANDIDATES</t>
  </si>
  <si>
    <t>Applied</t>
  </si>
  <si>
    <t>Screening Passed</t>
  </si>
  <si>
    <t>Interview Selected</t>
  </si>
  <si>
    <t>Final Selected</t>
  </si>
  <si>
    <t>Offers Accepted</t>
  </si>
  <si>
    <t>CONVERSION RATE</t>
  </si>
  <si>
    <t>JOB LEVEL-WISE HIRING ANALYSIS</t>
  </si>
  <si>
    <t>JOB LEVEL</t>
  </si>
  <si>
    <t>RECRUITMENT COST ANALYSIS</t>
  </si>
  <si>
    <t>METRIC</t>
  </si>
  <si>
    <t>VALUE</t>
  </si>
  <si>
    <t>UNIT</t>
  </si>
  <si>
    <t>INTERPRETATION</t>
  </si>
  <si>
    <t>Total Recruitment Cost</t>
  </si>
  <si>
    <t>Average Cost per Candidate</t>
  </si>
  <si>
    <t>Average Cost per Selected Candidate</t>
  </si>
  <si>
    <t>Average Cost per Joined Candidate</t>
  </si>
  <si>
    <t>₹</t>
  </si>
  <si>
    <t>Overall recruitment spend</t>
  </si>
  <si>
    <t>Average spend per candidate</t>
  </si>
  <si>
    <t>Recruitment cost per selected candidate</t>
  </si>
  <si>
    <t>Recruitment cost per joined candidate</t>
  </si>
  <si>
    <t>Recruitment Performance | Hiring Funnel | Cost &amp; Source Intelligence</t>
  </si>
  <si>
    <t>KEY RECRUITMENT KPIs</t>
  </si>
  <si>
    <t>Total Candidates</t>
  </si>
  <si>
    <t>Selected Candidates</t>
  </si>
  <si>
    <t>Joined Candidates</t>
  </si>
  <si>
    <t>Hiring Success Rate</t>
  </si>
  <si>
    <t>A</t>
  </si>
  <si>
    <t>B</t>
  </si>
  <si>
    <t>C</t>
  </si>
  <si>
    <t>D</t>
  </si>
  <si>
    <t>Joining Rate</t>
  </si>
  <si>
    <t>Department-wise Hiring Analysis</t>
  </si>
  <si>
    <t>Stage</t>
  </si>
  <si>
    <t>Candidates</t>
  </si>
  <si>
    <t>AVERAGE RECRUITMENT COST – JOINED CANDIDATES (ACTUAL COST)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</si>
</sst>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71">
    <xf numFmtId="0" fontId="0" fillId="0" borderId="0" xfId="0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15" fontId="0" fillId="4" borderId="15" xfId="0" applyNumberForma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0" xfId="0" applyFill="1" applyAlignment="1">
      <alignment horizontal="center"/>
    </xf>
    <xf numFmtId="15" fontId="0" fillId="4" borderId="0" xfId="0" applyNumberFormat="1" applyFill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15" fontId="0" fillId="4" borderId="11" xfId="0" applyNumberFormat="1" applyFill="1" applyBorder="1" applyAlignment="1">
      <alignment horizontal="center"/>
    </xf>
    <xf numFmtId="15" fontId="0" fillId="4" borderId="1" xfId="0" applyNumberFormat="1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15" fontId="0" fillId="4" borderId="13" xfId="0" applyNumberForma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3" fillId="0" borderId="0" xfId="0" applyFont="1" applyAlignment="1">
      <alignment vertical="center" wrapText="1"/>
    </xf>
    <xf numFmtId="0" fontId="7" fillId="3" borderId="1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9" fontId="7" fillId="3" borderId="16" xfId="0" applyNumberFormat="1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10" fontId="7" fillId="3" borderId="9" xfId="0" applyNumberFormat="1" applyFont="1" applyFill="1" applyBorder="1" applyAlignment="1">
      <alignment horizontal="center"/>
    </xf>
    <xf numFmtId="10" fontId="7" fillId="3" borderId="16" xfId="0" applyNumberFormat="1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9" fontId="7" fillId="3" borderId="12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6" fontId="4" fillId="3" borderId="1" xfId="0" applyNumberFormat="1" applyFont="1" applyFill="1" applyBorder="1" applyAlignment="1">
      <alignment horizontal="center"/>
    </xf>
    <xf numFmtId="10" fontId="4" fillId="3" borderId="1" xfId="0" applyNumberFormat="1" applyFont="1" applyFill="1" applyBorder="1" applyAlignment="1">
      <alignment horizontal="center"/>
    </xf>
    <xf numFmtId="9" fontId="4" fillId="3" borderId="1" xfId="0" applyNumberFormat="1" applyFont="1" applyFill="1" applyBorder="1" applyAlignment="1">
      <alignment horizontal="center"/>
    </xf>
    <xf numFmtId="8" fontId="4" fillId="3" borderId="1" xfId="0" applyNumberFormat="1" applyFont="1" applyFill="1" applyBorder="1" applyAlignment="1">
      <alignment horizontal="center"/>
    </xf>
    <xf numFmtId="10" fontId="0" fillId="3" borderId="1" xfId="0" applyNumberFormat="1" applyFill="1" applyBorder="1" applyAlignment="1">
      <alignment horizontal="center"/>
    </xf>
    <xf numFmtId="43" fontId="0" fillId="0" borderId="0" xfId="1" applyFont="1"/>
    <xf numFmtId="0" fontId="3" fillId="0" borderId="0" xfId="0" applyFont="1" applyAlignment="1">
      <alignment horizontal="righ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9" fontId="7" fillId="3" borderId="1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9" fontId="7" fillId="3" borderId="9" xfId="0" applyNumberFormat="1" applyFont="1" applyFill="1" applyBorder="1" applyAlignment="1">
      <alignment horizontal="center" vertical="center" wrapText="1"/>
    </xf>
    <xf numFmtId="10" fontId="7" fillId="3" borderId="1" xfId="0" applyNumberFormat="1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10" fontId="7" fillId="3" borderId="12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10" fontId="7" fillId="3" borderId="1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0" fontId="7" fillId="3" borderId="13" xfId="0" applyNumberFormat="1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5" borderId="15" xfId="0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9" fontId="7" fillId="3" borderId="13" xfId="0" applyNumberFormat="1" applyFont="1" applyFill="1" applyBorder="1" applyAlignment="1">
      <alignment horizontal="center"/>
    </xf>
    <xf numFmtId="9" fontId="7" fillId="3" borderId="1" xfId="0" applyNumberFormat="1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9" fontId="7" fillId="3" borderId="9" xfId="0" applyNumberFormat="1" applyFont="1" applyFill="1" applyBorder="1" applyAlignment="1">
      <alignment horizontal="center"/>
    </xf>
    <xf numFmtId="3" fontId="7" fillId="3" borderId="15" xfId="0" applyNumberFormat="1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3" fontId="7" fillId="3" borderId="0" xfId="0" applyNumberFormat="1" applyFont="1" applyFill="1" applyAlignment="1">
      <alignment horizontal="center"/>
    </xf>
    <xf numFmtId="0" fontId="7" fillId="3" borderId="9" xfId="0" applyFont="1" applyFill="1" applyBorder="1" applyAlignment="1">
      <alignment horizontal="center"/>
    </xf>
    <xf numFmtId="4" fontId="7" fillId="3" borderId="15" xfId="0" applyNumberFormat="1" applyFont="1" applyFill="1" applyBorder="1" applyAlignment="1">
      <alignment horizontal="center"/>
    </xf>
    <xf numFmtId="4" fontId="7" fillId="3" borderId="11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0" fillId="9" borderId="4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/>
    </xf>
    <xf numFmtId="0" fontId="10" fillId="9" borderId="11" xfId="0" applyFont="1" applyFill="1" applyBorder="1" applyAlignment="1">
      <alignment horizontal="center" vertical="center"/>
    </xf>
    <xf numFmtId="0" fontId="10" fillId="9" borderId="12" xfId="0" applyFont="1" applyFill="1" applyBorder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/>
    </xf>
    <xf numFmtId="0" fontId="10" fillId="6" borderId="7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center"/>
    </xf>
    <xf numFmtId="0" fontId="10" fillId="6" borderId="1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10" fontId="4" fillId="8" borderId="1" xfId="0" applyNumberFormat="1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10" fontId="4" fillId="8" borderId="13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/>
    </xf>
    <xf numFmtId="0" fontId="6" fillId="7" borderId="15" xfId="0" applyFont="1" applyFill="1" applyBorder="1" applyAlignment="1">
      <alignment horizontal="center"/>
    </xf>
    <xf numFmtId="0" fontId="6" fillId="7" borderId="16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9" fontId="4" fillId="8" borderId="16" xfId="0" applyNumberFormat="1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9" fontId="4" fillId="8" borderId="1" xfId="0" applyNumberFormat="1" applyFont="1" applyFill="1" applyBorder="1" applyAlignment="1">
      <alignment horizontal="center" vertical="center"/>
    </xf>
    <xf numFmtId="10" fontId="4" fillId="8" borderId="16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/>
    </xf>
    <xf numFmtId="6" fontId="4" fillId="8" borderId="1" xfId="0" applyNumberFormat="1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6" fontId="4" fillId="8" borderId="13" xfId="0" applyNumberFormat="1" applyFont="1" applyFill="1" applyBorder="1" applyAlignment="1">
      <alignment horizontal="center"/>
    </xf>
    <xf numFmtId="8" fontId="4" fillId="8" borderId="1" xfId="0" applyNumberFormat="1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8" fontId="4" fillId="8" borderId="14" xfId="0" applyNumberFormat="1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16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6" fillId="7" borderId="15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9" fontId="4" fillId="8" borderId="1" xfId="0" applyNumberFormat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0" fontId="4" fillId="8" borderId="13" xfId="0" applyNumberFormat="1" applyFont="1" applyFill="1" applyBorder="1" applyAlignment="1">
      <alignment horizontal="center" vertical="center" wrapText="1"/>
    </xf>
    <xf numFmtId="10" fontId="4" fillId="8" borderId="1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9" fontId="4" fillId="8" borderId="14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6" fillId="7" borderId="2" xfId="0" applyFont="1" applyFill="1" applyBorder="1" applyAlignment="1">
      <alignment horizontal="center" vertical="center" wrapText="1"/>
    </xf>
    <xf numFmtId="9" fontId="4" fillId="8" borderId="13" xfId="0" applyNumberFormat="1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11" fillId="9" borderId="7" xfId="0" applyFont="1" applyFill="1" applyBorder="1" applyAlignment="1">
      <alignment horizontal="center" vertical="center"/>
    </xf>
    <xf numFmtId="0" fontId="11" fillId="9" borderId="10" xfId="0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horizontal="center" vertical="center"/>
    </xf>
    <xf numFmtId="0" fontId="8" fillId="7" borderId="16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15" xfId="0" applyFont="1" applyFill="1" applyBorder="1" applyAlignment="1">
      <alignment horizontal="center" vertical="center"/>
    </xf>
    <xf numFmtId="0" fontId="9" fillId="7" borderId="16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9" fontId="4" fillId="8" borderId="1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21"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numFmt numFmtId="20" formatCode="dd/mmm/yy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SOURCE-WISE JOINING RATE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2319494726941982"/>
          <c:y val="4.1833559524455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80706963407033"/>
          <c:y val="0.14673405299603645"/>
          <c:w val="0.86853718183191941"/>
          <c:h val="0.608661577867546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'Recruitment Dashboard'!$D$15</c:f>
              <c:strCache>
                <c:ptCount val="1"/>
                <c:pt idx="0">
                  <c:v>Joining Rate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'Recruitment Dashboard'!$C$16:$C$19</c:f>
              <c:strCache>
                <c:ptCount val="4"/>
                <c:pt idx="0">
                  <c:v>LinkedIn</c:v>
                </c:pt>
                <c:pt idx="1">
                  <c:v>Naukri</c:v>
                </c:pt>
                <c:pt idx="2">
                  <c:v>Indeed</c:v>
                </c:pt>
                <c:pt idx="3">
                  <c:v>Employee Referral</c:v>
                </c:pt>
              </c:strCache>
            </c:strRef>
          </c:cat>
          <c:val>
            <c:numRef>
              <c:f>'Recruitment Dashboard'!$D$16:$D$19</c:f>
              <c:numCache>
                <c:formatCode>0.00%</c:formatCode>
                <c:ptCount val="4"/>
                <c:pt idx="0" formatCode="0%">
                  <c:v>0.5</c:v>
                </c:pt>
                <c:pt idx="1">
                  <c:v>0.78569999999999995</c:v>
                </c:pt>
                <c:pt idx="2">
                  <c:v>0.41670000000000001</c:v>
                </c:pt>
                <c:pt idx="3" formatCode="0%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7A-4707-91E6-F974F7AFBBE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53756143"/>
        <c:axId val="747895951"/>
      </c:barChart>
      <c:catAx>
        <c:axId val="75375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895951"/>
        <c:crosses val="autoZero"/>
        <c:auto val="1"/>
        <c:lblAlgn val="ctr"/>
        <c:lblOffset val="100"/>
        <c:noMultiLvlLbl val="0"/>
      </c:catAx>
      <c:valAx>
        <c:axId val="74789595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753756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DEPARTMENT-WISE HIRING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'Recruitment Dashboard'!$B$24</c:f>
              <c:strCache>
                <c:ptCount val="1"/>
                <c:pt idx="0">
                  <c:v>Total Candidates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'Recruitment Dashboard'!$A$25:$A$34</c:f>
              <c:strCache>
                <c:ptCount val="10"/>
                <c:pt idx="0">
                  <c:v>HR</c:v>
                </c:pt>
                <c:pt idx="1">
                  <c:v>Front Office</c:v>
                </c:pt>
                <c:pt idx="2">
                  <c:v>Finance</c:v>
                </c:pt>
                <c:pt idx="3">
                  <c:v>Housekeeping</c:v>
                </c:pt>
                <c:pt idx="4">
                  <c:v>Marketing</c:v>
                </c:pt>
                <c:pt idx="5">
                  <c:v>Sales</c:v>
                </c:pt>
                <c:pt idx="6">
                  <c:v>IT</c:v>
                </c:pt>
                <c:pt idx="7">
                  <c:v>Restaurant</c:v>
                </c:pt>
                <c:pt idx="8">
                  <c:v>Kitchen</c:v>
                </c:pt>
                <c:pt idx="9">
                  <c:v>Engineering</c:v>
                </c:pt>
              </c:strCache>
            </c:strRef>
          </c:cat>
          <c:val>
            <c:numRef>
              <c:f>'Recruitment Dashboard'!$B$25:$B$34</c:f>
              <c:numCache>
                <c:formatCode>General</c:formatCode>
                <c:ptCount val="10"/>
                <c:pt idx="0">
                  <c:v>6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F0-465F-9D43-05832C87596D}"/>
            </c:ext>
          </c:extLst>
        </c:ser>
        <c:ser>
          <c:idx val="1"/>
          <c:order val="1"/>
          <c:tx>
            <c:strRef>
              <c:f>'Recruitment Dashboard'!$C$24</c:f>
              <c:strCache>
                <c:ptCount val="1"/>
                <c:pt idx="0">
                  <c:v>Joined Candidates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'Recruitment Dashboard'!$A$25:$A$34</c:f>
              <c:strCache>
                <c:ptCount val="10"/>
                <c:pt idx="0">
                  <c:v>HR</c:v>
                </c:pt>
                <c:pt idx="1">
                  <c:v>Front Office</c:v>
                </c:pt>
                <c:pt idx="2">
                  <c:v>Finance</c:v>
                </c:pt>
                <c:pt idx="3">
                  <c:v>Housekeeping</c:v>
                </c:pt>
                <c:pt idx="4">
                  <c:v>Marketing</c:v>
                </c:pt>
                <c:pt idx="5">
                  <c:v>Sales</c:v>
                </c:pt>
                <c:pt idx="6">
                  <c:v>IT</c:v>
                </c:pt>
                <c:pt idx="7">
                  <c:v>Restaurant</c:v>
                </c:pt>
                <c:pt idx="8">
                  <c:v>Kitchen</c:v>
                </c:pt>
                <c:pt idx="9">
                  <c:v>Engineering</c:v>
                </c:pt>
              </c:strCache>
            </c:strRef>
          </c:cat>
          <c:val>
            <c:numRef>
              <c:f>'Recruitment Dashboard'!$C$25:$C$34</c:f>
              <c:numCache>
                <c:formatCode>General</c:formatCode>
                <c:ptCount val="10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5</c:v>
                </c:pt>
                <c:pt idx="6">
                  <c:v>2</c:v>
                </c:pt>
                <c:pt idx="7">
                  <c:v>5</c:v>
                </c:pt>
                <c:pt idx="8">
                  <c:v>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F0-465F-9D43-05832C87596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20830383"/>
        <c:axId val="747974671"/>
      </c:barChart>
      <c:catAx>
        <c:axId val="82083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974671"/>
        <c:crosses val="autoZero"/>
        <c:auto val="1"/>
        <c:lblAlgn val="ctr"/>
        <c:lblOffset val="100"/>
        <c:noMultiLvlLbl val="0"/>
      </c:catAx>
      <c:valAx>
        <c:axId val="74797467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2083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CANDIDATE CONVERSION FUNNEL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'Recruitment Dashboard'!$B$39</c:f>
              <c:strCache>
                <c:ptCount val="1"/>
                <c:pt idx="0">
                  <c:v>Candidates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'Recruitment Dashboard'!$A$40:$A$45</c:f>
              <c:strCache>
                <c:ptCount val="6"/>
                <c:pt idx="0">
                  <c:v>Applied</c:v>
                </c:pt>
                <c:pt idx="1">
                  <c:v>Screening Passed</c:v>
                </c:pt>
                <c:pt idx="2">
                  <c:v>Interview Selected</c:v>
                </c:pt>
                <c:pt idx="3">
                  <c:v>Final Selected</c:v>
                </c:pt>
                <c:pt idx="4">
                  <c:v>Offers Accepted</c:v>
                </c:pt>
                <c:pt idx="5">
                  <c:v>Joined</c:v>
                </c:pt>
              </c:strCache>
            </c:strRef>
          </c:cat>
          <c:val>
            <c:numRef>
              <c:f>'Recruitment Dashboard'!$B$40:$B$45</c:f>
              <c:numCache>
                <c:formatCode>General</c:formatCode>
                <c:ptCount val="6"/>
                <c:pt idx="0">
                  <c:v>50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32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4B-4BA1-9868-9D43E9743F2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20838271"/>
        <c:axId val="747940111"/>
      </c:barChart>
      <c:catAx>
        <c:axId val="820838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940111"/>
        <c:crosses val="autoZero"/>
        <c:auto val="1"/>
        <c:lblAlgn val="ctr"/>
        <c:lblOffset val="100"/>
        <c:noMultiLvlLbl val="0"/>
      </c:catAx>
      <c:valAx>
        <c:axId val="74794011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838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AVERAGE RECRUITMENT COST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'Recruitment Dashboard'!$A$54:$A$56</c:f>
              <c:strCache>
                <c:ptCount val="3"/>
                <c:pt idx="0">
                  <c:v>Average Cost per Candidate</c:v>
                </c:pt>
                <c:pt idx="1">
                  <c:v>Average Cost per Selected Candidate</c:v>
                </c:pt>
                <c:pt idx="2">
                  <c:v>Average Cost per Joined Candidate</c:v>
                </c:pt>
              </c:strCache>
            </c:strRef>
          </c:cat>
          <c:val>
            <c:numRef>
              <c:f>'Recruitment Dashboard'!$B$54:$B$56</c:f>
              <c:numCache>
                <c:formatCode>"₹"#,##0.00_);[Red]\("₹"#,##0.00\)</c:formatCode>
                <c:ptCount val="3"/>
                <c:pt idx="0" formatCode="&quot;₹&quot;#,##0_);[Red]\(&quot;₹&quot;#,##0\)">
                  <c:v>1321</c:v>
                </c:pt>
                <c:pt idx="1">
                  <c:v>1834.72</c:v>
                </c:pt>
                <c:pt idx="2">
                  <c:v>2064.06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8F-4249-A359-BF6C00300AE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53042639"/>
        <c:axId val="1812839919"/>
      </c:barChart>
      <c:catAx>
        <c:axId val="195304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839919"/>
        <c:crosses val="autoZero"/>
        <c:auto val="1"/>
        <c:lblAlgn val="ctr"/>
        <c:lblOffset val="100"/>
        <c:noMultiLvlLbl val="0"/>
      </c:catAx>
      <c:valAx>
        <c:axId val="181283991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crossAx val="195304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RECRUITER-WISE JOINED CANDIDATES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65091863517061"/>
          <c:y val="0.17171296296296298"/>
          <c:w val="0.8016824146981627"/>
          <c:h val="0.7208876494604841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'Recruitment Dashboard'!$B$77</c:f>
              <c:strCache>
                <c:ptCount val="1"/>
                <c:pt idx="0">
                  <c:v>JOINED CANDIDATES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'Recruitment Dashboard'!$A$78:$A$80</c:f>
              <c:strCache>
                <c:ptCount val="3"/>
                <c:pt idx="0">
                  <c:v>Recruiter A</c:v>
                </c:pt>
                <c:pt idx="1">
                  <c:v>Recruiter B</c:v>
                </c:pt>
                <c:pt idx="2">
                  <c:v>Recruiter C</c:v>
                </c:pt>
              </c:strCache>
            </c:strRef>
          </c:cat>
          <c:val>
            <c:numRef>
              <c:f>'Recruitment Dashboard'!$B$78:$B$80</c:f>
              <c:numCache>
                <c:formatCode>General</c:formatCode>
                <c:ptCount val="3"/>
                <c:pt idx="0">
                  <c:v>15</c:v>
                </c:pt>
                <c:pt idx="1">
                  <c:v>10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0D-48A6-BF0D-ACED8C074F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85323631"/>
        <c:axId val="1951572783"/>
      </c:barChart>
      <c:catAx>
        <c:axId val="1985323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572783"/>
        <c:crosses val="autoZero"/>
        <c:auto val="1"/>
        <c:lblAlgn val="ctr"/>
        <c:lblOffset val="100"/>
        <c:noMultiLvlLbl val="0"/>
      </c:catAx>
      <c:valAx>
        <c:axId val="1951572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323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JOB LEVEL-WISE JOINED CANDIDATES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'Recruitment Dashboard'!$B$96</c:f>
              <c:strCache>
                <c:ptCount val="1"/>
                <c:pt idx="0">
                  <c:v>JOINED CANDIDATES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'Recruitment Dashboard'!$A$97:$A$99</c:f>
              <c:strCache>
                <c:ptCount val="3"/>
                <c:pt idx="0">
                  <c:v>Entry-Level</c:v>
                </c:pt>
                <c:pt idx="1">
                  <c:v>Mid-Level</c:v>
                </c:pt>
                <c:pt idx="2">
                  <c:v>Senior-Level</c:v>
                </c:pt>
              </c:strCache>
            </c:strRef>
          </c:cat>
          <c:val>
            <c:numRef>
              <c:f>'Recruitment Dashboard'!$B$97:$B$99</c:f>
              <c:numCache>
                <c:formatCode>General</c:formatCode>
                <c:ptCount val="3"/>
                <c:pt idx="0">
                  <c:v>8</c:v>
                </c:pt>
                <c:pt idx="1">
                  <c:v>13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F-42E9-AB1D-650AD0442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3781823"/>
        <c:axId val="1951592943"/>
      </c:barChart>
      <c:catAx>
        <c:axId val="197378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592943"/>
        <c:crosses val="autoZero"/>
        <c:auto val="1"/>
        <c:lblAlgn val="ctr"/>
        <c:lblOffset val="100"/>
        <c:noMultiLvlLbl val="0"/>
      </c:catAx>
      <c:valAx>
        <c:axId val="195159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781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83129</xdr:colOff>
      <xdr:row>7</xdr:row>
      <xdr:rowOff>180109</xdr:rowOff>
    </xdr:from>
    <xdr:to>
      <xdr:col>8</xdr:col>
      <xdr:colOff>1</xdr:colOff>
      <xdr:row>19</xdr:row>
      <xdr:rowOff>13854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64A563-5A9A-2183-BDAB-EC07F002B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87630</xdr:colOff>
      <xdr:row>22</xdr:row>
      <xdr:rowOff>83820</xdr:rowOff>
    </xdr:from>
    <xdr:to>
      <xdr:col>8</xdr:col>
      <xdr:colOff>0</xdr:colOff>
      <xdr:row>34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85EB7F-02EA-68A8-68A6-5B0295C0F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102870</xdr:colOff>
      <xdr:row>37</xdr:row>
      <xdr:rowOff>106680</xdr:rowOff>
    </xdr:from>
    <xdr:to>
      <xdr:col>7</xdr:col>
      <xdr:colOff>1143000</xdr:colOff>
      <xdr:row>48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196C40-38A8-50C0-C133-AE6F01E483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74294</xdr:colOff>
      <xdr:row>51</xdr:row>
      <xdr:rowOff>142875</xdr:rowOff>
    </xdr:from>
    <xdr:to>
      <xdr:col>7</xdr:col>
      <xdr:colOff>1142999</xdr:colOff>
      <xdr:row>65</xdr:row>
      <xdr:rowOff>159808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E8B3F4-7354-FE58-93EC-77C8211275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67519</xdr:colOff>
      <xdr:row>74</xdr:row>
      <xdr:rowOff>173619</xdr:rowOff>
    </xdr:from>
    <xdr:to>
      <xdr:col>7</xdr:col>
      <xdr:colOff>1128532</xdr:colOff>
      <xdr:row>86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92452F-721F-F8FD-0852-5C2EFD716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67236</xdr:colOff>
      <xdr:row>94</xdr:row>
      <xdr:rowOff>156881</xdr:rowOff>
    </xdr:from>
    <xdr:to>
      <xdr:col>8</xdr:col>
      <xdr:colOff>0</xdr:colOff>
      <xdr:row>111</xdr:row>
      <xdr:rowOff>11206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E91A7E0-186F-E20C-2BBB-D8234035E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ruitment%20Dataset%2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ruitment Dataset 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4180B5-979B-4B49-84CF-12112DDF33BF}" name="Table1" displayName="Table1" ref="A1:R51" totalsRowShown="0" headerRowDxfId="20" dataDxfId="19" tableBorderDxfId="18">
  <autoFilter ref="A1:R51" xr:uid="{00000000-0001-0000-0000-000000000000}"/>
  <tableColumns count="18">
    <tableColumn id="1" xr3:uid="{74F3D8E4-FB0E-48E0-948C-EC48CC1EBA11}" name="Candidate ID " dataDxfId="17"/>
    <tableColumn id="2" xr3:uid="{6C17D9FE-C782-4B8E-B136-8448F9D5AB8B}" name="Candidate Name" dataDxfId="16"/>
    <tableColumn id="3" xr3:uid="{23B88397-27BA-4052-8262-0118F9136CE1}" name="Gender" dataDxfId="15"/>
    <tableColumn id="4" xr3:uid="{AB89D79A-6B99-4544-A71E-A48FFA06CF7A}" name="Age" dataDxfId="14"/>
    <tableColumn id="5" xr3:uid="{CC785772-AB3B-4B1B-91AD-8CEC48FD6752}" name="Department" dataDxfId="13"/>
    <tableColumn id="6" xr3:uid="{4868CF52-6394-4CCF-8715-561A0EBF4BBE}" name="Job Role" dataDxfId="12"/>
    <tableColumn id="7" xr3:uid="{D6E5A7F2-5D59-49DE-B082-649AF6C2245F}" name="Job Level" dataDxfId="11"/>
    <tableColumn id="8" xr3:uid="{F36D87A3-779D-4169-8631-69C1159D703B}" name="Source" dataDxfId="10"/>
    <tableColumn id="9" xr3:uid="{6588A078-C909-41D5-B59A-31EF4248F95F}" name="Applied Date" dataDxfId="9"/>
    <tableColumn id="10" xr3:uid="{BE99B0C5-5163-4B7E-8417-D94294AAC5DA}" name="Screening Status" dataDxfId="8"/>
    <tableColumn id="11" xr3:uid="{43E61BAE-1870-4BEE-8A48-5ADC0A9DCC7E}" name="Interview Status" dataDxfId="7"/>
    <tableColumn id="12" xr3:uid="{EC700F75-5B8F-4415-A5B7-D1FFA111573F}" name="Final Status" dataDxfId="6"/>
    <tableColumn id="13" xr3:uid="{B6BFAC45-BCE4-4D38-99CE-C6EA075F4ACF}" name="Offer Status" dataDxfId="5"/>
    <tableColumn id="14" xr3:uid="{3B1B4D56-1403-419F-A37A-C32EEA8EC593}" name="Joining Status" dataDxfId="4"/>
    <tableColumn id="15" xr3:uid="{DE2F740C-2E3F-466F-B7E3-AEB16479E9CB}" name="Time to Hire (Days)" dataDxfId="3"/>
    <tableColumn id="16" xr3:uid="{4FD1F1E6-B3B7-43EE-AF58-41A9817BC3AA}" name="Recruitment Cost" dataDxfId="2"/>
    <tableColumn id="17" xr3:uid="{684FD904-5D63-4914-B54D-FC16B1FC99A6}" name="Recruiter" dataDxfId="1"/>
    <tableColumn id="18" xr3:uid="{742EB3A4-2110-49D8-85DC-E7DD8C4CAEB8}" name="Loc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zoomScale="43" zoomScaleNormal="43" workbookViewId="0">
      <pane ySplit="1" topLeftCell="A2" activePane="bottomLeft" state="frozen"/>
      <selection pane="bottomLeft" activeCell="O47" sqref="O47:P47"/>
    </sheetView>
  </sheetViews>
  <sheetFormatPr defaultRowHeight="14.4" x14ac:dyDescent="0.3"/>
  <cols>
    <col min="1" max="1" width="15.33203125" customWidth="1"/>
    <col min="2" max="2" width="16.77734375" customWidth="1"/>
    <col min="3" max="3" width="14.33203125" customWidth="1"/>
    <col min="5" max="5" width="17.6640625" customWidth="1"/>
    <col min="6" max="6" width="38.21875" customWidth="1"/>
    <col min="7" max="7" width="16.77734375" customWidth="1"/>
    <col min="8" max="8" width="20.5546875" customWidth="1"/>
    <col min="9" max="9" width="15.109375" customWidth="1"/>
    <col min="10" max="10" width="19.44140625" customWidth="1"/>
    <col min="11" max="11" width="19.109375" customWidth="1"/>
    <col min="12" max="12" width="16" customWidth="1"/>
    <col min="13" max="13" width="18.21875" customWidth="1"/>
    <col min="14" max="14" width="16.5546875" customWidth="1"/>
    <col min="15" max="15" width="17.6640625" customWidth="1"/>
    <col min="16" max="16" width="17.5546875" customWidth="1"/>
    <col min="17" max="17" width="16.77734375" customWidth="1"/>
    <col min="18" max="18" width="15" customWidth="1"/>
  </cols>
  <sheetData>
    <row r="1" spans="1:18" ht="15" thickBot="1" x14ac:dyDescent="0.35">
      <c r="A1" s="7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 t="s">
        <v>16</v>
      </c>
      <c r="R1" s="2" t="s">
        <v>17</v>
      </c>
    </row>
    <row r="2" spans="1:18" ht="15" thickBot="1" x14ac:dyDescent="0.35">
      <c r="A2" s="6" t="s">
        <v>18</v>
      </c>
      <c r="B2" s="5" t="s">
        <v>19</v>
      </c>
      <c r="C2" s="6" t="s">
        <v>20</v>
      </c>
      <c r="D2" s="5">
        <v>24</v>
      </c>
      <c r="E2" s="6" t="s">
        <v>21</v>
      </c>
      <c r="F2" s="5" t="s">
        <v>22</v>
      </c>
      <c r="G2" s="6" t="s">
        <v>23</v>
      </c>
      <c r="H2" s="5" t="s">
        <v>24</v>
      </c>
      <c r="I2" s="7">
        <v>46027</v>
      </c>
      <c r="J2" s="5" t="s">
        <v>25</v>
      </c>
      <c r="K2" s="6" t="s">
        <v>26</v>
      </c>
      <c r="L2" s="5" t="s">
        <v>26</v>
      </c>
      <c r="M2" s="6" t="s">
        <v>27</v>
      </c>
      <c r="N2" s="5" t="s">
        <v>28</v>
      </c>
      <c r="O2" s="6">
        <v>18</v>
      </c>
      <c r="P2" s="5">
        <v>1200</v>
      </c>
      <c r="Q2" s="6" t="s">
        <v>29</v>
      </c>
      <c r="R2" s="4" t="s">
        <v>30</v>
      </c>
    </row>
    <row r="3" spans="1:18" ht="15" thickBot="1" x14ac:dyDescent="0.35">
      <c r="A3" s="10" t="s">
        <v>31</v>
      </c>
      <c r="B3" s="9" t="s">
        <v>32</v>
      </c>
      <c r="C3" s="10" t="s">
        <v>33</v>
      </c>
      <c r="D3" s="9">
        <v>27</v>
      </c>
      <c r="E3" s="10" t="s">
        <v>34</v>
      </c>
      <c r="F3" s="9" t="s">
        <v>35</v>
      </c>
      <c r="G3" s="10" t="s">
        <v>36</v>
      </c>
      <c r="H3" s="9" t="s">
        <v>37</v>
      </c>
      <c r="I3" s="11">
        <v>46028</v>
      </c>
      <c r="J3" s="9" t="s">
        <v>25</v>
      </c>
      <c r="K3" s="10" t="s">
        <v>26</v>
      </c>
      <c r="L3" s="9" t="s">
        <v>26</v>
      </c>
      <c r="M3" s="10" t="s">
        <v>27</v>
      </c>
      <c r="N3" s="9" t="s">
        <v>28</v>
      </c>
      <c r="O3" s="10">
        <v>22</v>
      </c>
      <c r="P3" s="9">
        <v>1500</v>
      </c>
      <c r="Q3" s="10" t="s">
        <v>38</v>
      </c>
      <c r="R3" s="8" t="s">
        <v>30</v>
      </c>
    </row>
    <row r="4" spans="1:18" ht="15" thickBot="1" x14ac:dyDescent="0.35">
      <c r="A4" s="6" t="s">
        <v>39</v>
      </c>
      <c r="B4" s="5" t="s">
        <v>40</v>
      </c>
      <c r="C4" s="6" t="s">
        <v>20</v>
      </c>
      <c r="D4" s="5">
        <v>29</v>
      </c>
      <c r="E4" s="6" t="s">
        <v>41</v>
      </c>
      <c r="F4" s="5" t="s">
        <v>42</v>
      </c>
      <c r="G4" s="6" t="s">
        <v>23</v>
      </c>
      <c r="H4" s="5" t="s">
        <v>43</v>
      </c>
      <c r="I4" s="7">
        <v>46029</v>
      </c>
      <c r="J4" s="5" t="s">
        <v>25</v>
      </c>
      <c r="K4" s="6" t="s">
        <v>26</v>
      </c>
      <c r="L4" s="5" t="s">
        <v>44</v>
      </c>
      <c r="M4" s="6" t="s">
        <v>45</v>
      </c>
      <c r="N4" s="5" t="s">
        <v>46</v>
      </c>
      <c r="O4" s="6">
        <v>0</v>
      </c>
      <c r="P4" s="5">
        <v>900</v>
      </c>
      <c r="Q4" s="6" t="s">
        <v>29</v>
      </c>
      <c r="R4" s="4" t="s">
        <v>47</v>
      </c>
    </row>
    <row r="5" spans="1:18" ht="15" thickBot="1" x14ac:dyDescent="0.35">
      <c r="A5" s="10" t="s">
        <v>48</v>
      </c>
      <c r="B5" s="9" t="s">
        <v>49</v>
      </c>
      <c r="C5" s="10" t="s">
        <v>33</v>
      </c>
      <c r="D5" s="9">
        <v>25</v>
      </c>
      <c r="E5" s="10" t="s">
        <v>50</v>
      </c>
      <c r="F5" s="9" t="s">
        <v>51</v>
      </c>
      <c r="G5" s="10" t="s">
        <v>36</v>
      </c>
      <c r="H5" s="9" t="s">
        <v>52</v>
      </c>
      <c r="I5" s="11">
        <v>46030</v>
      </c>
      <c r="J5" s="9" t="s">
        <v>25</v>
      </c>
      <c r="K5" s="10" t="s">
        <v>26</v>
      </c>
      <c r="L5" s="9" t="s">
        <v>26</v>
      </c>
      <c r="M5" s="10" t="s">
        <v>27</v>
      </c>
      <c r="N5" s="9" t="s">
        <v>28</v>
      </c>
      <c r="O5" s="10">
        <v>15</v>
      </c>
      <c r="P5" s="9">
        <v>800</v>
      </c>
      <c r="Q5" s="10" t="s">
        <v>53</v>
      </c>
      <c r="R5" s="8" t="s">
        <v>54</v>
      </c>
    </row>
    <row r="6" spans="1:18" ht="15" thickBot="1" x14ac:dyDescent="0.35">
      <c r="A6" s="6" t="s">
        <v>55</v>
      </c>
      <c r="B6" s="5" t="s">
        <v>56</v>
      </c>
      <c r="C6" s="6" t="s">
        <v>20</v>
      </c>
      <c r="D6" s="5">
        <v>23</v>
      </c>
      <c r="E6" s="6" t="s">
        <v>57</v>
      </c>
      <c r="F6" s="5" t="s">
        <v>58</v>
      </c>
      <c r="G6" s="6" t="s">
        <v>36</v>
      </c>
      <c r="H6" s="5" t="s">
        <v>24</v>
      </c>
      <c r="I6" s="7">
        <v>46031</v>
      </c>
      <c r="J6" s="5" t="s">
        <v>44</v>
      </c>
      <c r="K6" s="6" t="s">
        <v>59</v>
      </c>
      <c r="L6" s="5" t="s">
        <v>44</v>
      </c>
      <c r="M6" s="6" t="s">
        <v>45</v>
      </c>
      <c r="N6" s="5" t="s">
        <v>46</v>
      </c>
      <c r="O6" s="6">
        <v>0</v>
      </c>
      <c r="P6" s="5">
        <v>700</v>
      </c>
      <c r="Q6" s="6" t="s">
        <v>38</v>
      </c>
      <c r="R6" s="4" t="s">
        <v>30</v>
      </c>
    </row>
    <row r="7" spans="1:18" ht="15" thickBot="1" x14ac:dyDescent="0.35">
      <c r="A7" s="10" t="s">
        <v>60</v>
      </c>
      <c r="B7" s="9" t="s">
        <v>61</v>
      </c>
      <c r="C7" s="10" t="s">
        <v>33</v>
      </c>
      <c r="D7" s="9">
        <v>31</v>
      </c>
      <c r="E7" s="10" t="s">
        <v>62</v>
      </c>
      <c r="F7" s="9" t="s">
        <v>63</v>
      </c>
      <c r="G7" s="10" t="s">
        <v>23</v>
      </c>
      <c r="H7" s="9" t="s">
        <v>37</v>
      </c>
      <c r="I7" s="11">
        <v>46032</v>
      </c>
      <c r="J7" s="9" t="s">
        <v>25</v>
      </c>
      <c r="K7" s="10" t="s">
        <v>26</v>
      </c>
      <c r="L7" s="9" t="s">
        <v>26</v>
      </c>
      <c r="M7" s="10" t="s">
        <v>27</v>
      </c>
      <c r="N7" s="9" t="s">
        <v>28</v>
      </c>
      <c r="O7" s="10">
        <v>25</v>
      </c>
      <c r="P7" s="9">
        <v>1800</v>
      </c>
      <c r="Q7" s="10" t="s">
        <v>29</v>
      </c>
      <c r="R7" s="8" t="s">
        <v>64</v>
      </c>
    </row>
    <row r="8" spans="1:18" ht="15" thickBot="1" x14ac:dyDescent="0.35">
      <c r="A8" s="6" t="s">
        <v>65</v>
      </c>
      <c r="B8" s="5" t="s">
        <v>66</v>
      </c>
      <c r="C8" s="6" t="s">
        <v>20</v>
      </c>
      <c r="D8" s="5">
        <v>26</v>
      </c>
      <c r="E8" s="6" t="s">
        <v>67</v>
      </c>
      <c r="F8" s="5" t="s">
        <v>68</v>
      </c>
      <c r="G8" s="6" t="s">
        <v>23</v>
      </c>
      <c r="H8" s="5" t="s">
        <v>43</v>
      </c>
      <c r="I8" s="7">
        <v>46033</v>
      </c>
      <c r="J8" s="5" t="s">
        <v>25</v>
      </c>
      <c r="K8" s="6" t="s">
        <v>26</v>
      </c>
      <c r="L8" s="5" t="s">
        <v>26</v>
      </c>
      <c r="M8" s="6" t="s">
        <v>69</v>
      </c>
      <c r="N8" s="5" t="s">
        <v>46</v>
      </c>
      <c r="O8" s="6">
        <v>0</v>
      </c>
      <c r="P8" s="5">
        <v>1100</v>
      </c>
      <c r="Q8" s="6" t="s">
        <v>53</v>
      </c>
      <c r="R8" s="4" t="s">
        <v>30</v>
      </c>
    </row>
    <row r="9" spans="1:18" ht="15" thickBot="1" x14ac:dyDescent="0.35">
      <c r="A9" s="10" t="s">
        <v>70</v>
      </c>
      <c r="B9" s="9" t="s">
        <v>71</v>
      </c>
      <c r="C9" s="10" t="s">
        <v>33</v>
      </c>
      <c r="D9" s="9">
        <v>28</v>
      </c>
      <c r="E9" s="10" t="s">
        <v>72</v>
      </c>
      <c r="F9" s="9" t="s">
        <v>73</v>
      </c>
      <c r="G9" s="10" t="s">
        <v>23</v>
      </c>
      <c r="H9" s="9" t="s">
        <v>52</v>
      </c>
      <c r="I9" s="11">
        <v>46034</v>
      </c>
      <c r="J9" s="9" t="s">
        <v>25</v>
      </c>
      <c r="K9" s="10" t="s">
        <v>26</v>
      </c>
      <c r="L9" s="9" t="s">
        <v>26</v>
      </c>
      <c r="M9" s="10" t="s">
        <v>27</v>
      </c>
      <c r="N9" s="9" t="s">
        <v>28</v>
      </c>
      <c r="O9" s="10">
        <v>19</v>
      </c>
      <c r="P9" s="9">
        <v>950</v>
      </c>
      <c r="Q9" s="10" t="s">
        <v>38</v>
      </c>
      <c r="R9" s="8" t="s">
        <v>54</v>
      </c>
    </row>
    <row r="10" spans="1:18" ht="15" thickBot="1" x14ac:dyDescent="0.35">
      <c r="A10" s="6" t="s">
        <v>74</v>
      </c>
      <c r="B10" s="5" t="s">
        <v>75</v>
      </c>
      <c r="C10" s="6" t="s">
        <v>20</v>
      </c>
      <c r="D10" s="5">
        <v>22</v>
      </c>
      <c r="E10" s="6" t="s">
        <v>21</v>
      </c>
      <c r="F10" s="5" t="s">
        <v>76</v>
      </c>
      <c r="G10" s="6" t="s">
        <v>36</v>
      </c>
      <c r="H10" s="5" t="s">
        <v>24</v>
      </c>
      <c r="I10" s="7">
        <v>46035</v>
      </c>
      <c r="J10" s="5" t="s">
        <v>44</v>
      </c>
      <c r="K10" s="6" t="s">
        <v>59</v>
      </c>
      <c r="L10" s="5" t="s">
        <v>44</v>
      </c>
      <c r="M10" s="6" t="s">
        <v>45</v>
      </c>
      <c r="N10" s="5" t="s">
        <v>46</v>
      </c>
      <c r="O10" s="6">
        <v>0</v>
      </c>
      <c r="P10" s="5">
        <v>600</v>
      </c>
      <c r="Q10" s="6" t="s">
        <v>29</v>
      </c>
      <c r="R10" s="4" t="s">
        <v>30</v>
      </c>
    </row>
    <row r="11" spans="1:18" ht="15" thickBot="1" x14ac:dyDescent="0.35">
      <c r="A11" s="14" t="s">
        <v>77</v>
      </c>
      <c r="B11" s="13" t="s">
        <v>78</v>
      </c>
      <c r="C11" s="14" t="s">
        <v>33</v>
      </c>
      <c r="D11" s="13">
        <v>30</v>
      </c>
      <c r="E11" s="14" t="s">
        <v>79</v>
      </c>
      <c r="F11" s="13" t="s">
        <v>80</v>
      </c>
      <c r="G11" s="14" t="s">
        <v>81</v>
      </c>
      <c r="H11" s="13" t="s">
        <v>37</v>
      </c>
      <c r="I11" s="15">
        <v>46036</v>
      </c>
      <c r="J11" s="13" t="s">
        <v>25</v>
      </c>
      <c r="K11" s="14" t="s">
        <v>26</v>
      </c>
      <c r="L11" s="13" t="s">
        <v>26</v>
      </c>
      <c r="M11" s="14" t="s">
        <v>27</v>
      </c>
      <c r="N11" s="13" t="s">
        <v>28</v>
      </c>
      <c r="O11" s="14">
        <v>28</v>
      </c>
      <c r="P11" s="13">
        <v>2100</v>
      </c>
      <c r="Q11" s="14" t="s">
        <v>53</v>
      </c>
      <c r="R11" s="12" t="s">
        <v>82</v>
      </c>
    </row>
    <row r="12" spans="1:18" ht="15" thickBot="1" x14ac:dyDescent="0.35">
      <c r="A12" s="17" t="s">
        <v>83</v>
      </c>
      <c r="B12" s="6" t="s">
        <v>84</v>
      </c>
      <c r="C12" s="5" t="s">
        <v>20</v>
      </c>
      <c r="D12" s="6">
        <v>25</v>
      </c>
      <c r="E12" s="5" t="s">
        <v>34</v>
      </c>
      <c r="F12" s="6" t="s">
        <v>85</v>
      </c>
      <c r="G12" s="5" t="s">
        <v>36</v>
      </c>
      <c r="H12" s="6" t="s">
        <v>24</v>
      </c>
      <c r="I12" s="16">
        <v>46037</v>
      </c>
      <c r="J12" s="6" t="s">
        <v>25</v>
      </c>
      <c r="K12" s="5" t="s">
        <v>26</v>
      </c>
      <c r="L12" s="6" t="s">
        <v>26</v>
      </c>
      <c r="M12" s="5" t="s">
        <v>27</v>
      </c>
      <c r="N12" s="6" t="s">
        <v>28</v>
      </c>
      <c r="O12" s="5">
        <v>17</v>
      </c>
      <c r="P12" s="6">
        <v>1300</v>
      </c>
      <c r="Q12" s="5" t="s">
        <v>29</v>
      </c>
      <c r="R12" s="6" t="s">
        <v>30</v>
      </c>
    </row>
    <row r="13" spans="1:18" ht="15" thickBot="1" x14ac:dyDescent="0.35">
      <c r="A13" s="19" t="s">
        <v>86</v>
      </c>
      <c r="B13" s="10" t="s">
        <v>87</v>
      </c>
      <c r="C13" s="9" t="s">
        <v>33</v>
      </c>
      <c r="D13" s="10">
        <v>32</v>
      </c>
      <c r="E13" s="9" t="s">
        <v>41</v>
      </c>
      <c r="F13" s="10" t="s">
        <v>88</v>
      </c>
      <c r="G13" s="9" t="s">
        <v>81</v>
      </c>
      <c r="H13" s="10" t="s">
        <v>43</v>
      </c>
      <c r="I13" s="18">
        <v>46038</v>
      </c>
      <c r="J13" s="10" t="s">
        <v>25</v>
      </c>
      <c r="K13" s="9" t="s">
        <v>26</v>
      </c>
      <c r="L13" s="10" t="s">
        <v>26</v>
      </c>
      <c r="M13" s="9" t="s">
        <v>27</v>
      </c>
      <c r="N13" s="10" t="s">
        <v>28</v>
      </c>
      <c r="O13" s="9">
        <v>31</v>
      </c>
      <c r="P13" s="10">
        <v>2400</v>
      </c>
      <c r="Q13" s="9" t="s">
        <v>38</v>
      </c>
      <c r="R13" s="10" t="s">
        <v>47</v>
      </c>
    </row>
    <row r="14" spans="1:18" ht="15" thickBot="1" x14ac:dyDescent="0.35">
      <c r="A14" s="17" t="s">
        <v>89</v>
      </c>
      <c r="B14" s="6" t="s">
        <v>90</v>
      </c>
      <c r="C14" s="5" t="s">
        <v>20</v>
      </c>
      <c r="D14" s="6">
        <v>27</v>
      </c>
      <c r="E14" s="5" t="s">
        <v>50</v>
      </c>
      <c r="F14" s="6" t="s">
        <v>91</v>
      </c>
      <c r="G14" s="5" t="s">
        <v>23</v>
      </c>
      <c r="H14" s="6" t="s">
        <v>37</v>
      </c>
      <c r="I14" s="16">
        <v>46039</v>
      </c>
      <c r="J14" s="6" t="s">
        <v>25</v>
      </c>
      <c r="K14" s="5" t="s">
        <v>26</v>
      </c>
      <c r="L14" s="6" t="s">
        <v>44</v>
      </c>
      <c r="M14" s="5" t="s">
        <v>45</v>
      </c>
      <c r="N14" s="6" t="s">
        <v>46</v>
      </c>
      <c r="O14" s="5">
        <v>0</v>
      </c>
      <c r="P14" s="6">
        <v>1000</v>
      </c>
      <c r="Q14" s="5" t="s">
        <v>53</v>
      </c>
      <c r="R14" s="6" t="s">
        <v>54</v>
      </c>
    </row>
    <row r="15" spans="1:18" ht="15" thickBot="1" x14ac:dyDescent="0.35">
      <c r="A15" s="19" t="s">
        <v>92</v>
      </c>
      <c r="B15" s="10" t="s">
        <v>93</v>
      </c>
      <c r="C15" s="9" t="s">
        <v>33</v>
      </c>
      <c r="D15" s="10">
        <v>24</v>
      </c>
      <c r="E15" s="9" t="s">
        <v>72</v>
      </c>
      <c r="F15" s="10" t="s">
        <v>94</v>
      </c>
      <c r="G15" s="9" t="s">
        <v>36</v>
      </c>
      <c r="H15" s="10" t="s">
        <v>52</v>
      </c>
      <c r="I15" s="18">
        <v>46040</v>
      </c>
      <c r="J15" s="10" t="s">
        <v>25</v>
      </c>
      <c r="K15" s="9" t="s">
        <v>26</v>
      </c>
      <c r="L15" s="10" t="s">
        <v>26</v>
      </c>
      <c r="M15" s="9" t="s">
        <v>27</v>
      </c>
      <c r="N15" s="10" t="s">
        <v>28</v>
      </c>
      <c r="O15" s="9">
        <v>16</v>
      </c>
      <c r="P15" s="10">
        <v>850</v>
      </c>
      <c r="Q15" s="9" t="s">
        <v>29</v>
      </c>
      <c r="R15" s="10" t="s">
        <v>30</v>
      </c>
    </row>
    <row r="16" spans="1:18" ht="15" thickBot="1" x14ac:dyDescent="0.35">
      <c r="A16" s="17" t="s">
        <v>95</v>
      </c>
      <c r="B16" s="6" t="s">
        <v>96</v>
      </c>
      <c r="C16" s="5" t="s">
        <v>20</v>
      </c>
      <c r="D16" s="6">
        <v>29</v>
      </c>
      <c r="E16" s="5" t="s">
        <v>62</v>
      </c>
      <c r="F16" s="6" t="s">
        <v>97</v>
      </c>
      <c r="G16" s="5" t="s">
        <v>81</v>
      </c>
      <c r="H16" s="6" t="s">
        <v>24</v>
      </c>
      <c r="I16" s="16">
        <v>46041</v>
      </c>
      <c r="J16" s="6" t="s">
        <v>25</v>
      </c>
      <c r="K16" s="5" t="s">
        <v>26</v>
      </c>
      <c r="L16" s="6" t="s">
        <v>26</v>
      </c>
      <c r="M16" s="5" t="s">
        <v>27</v>
      </c>
      <c r="N16" s="6" t="s">
        <v>28</v>
      </c>
      <c r="O16" s="5">
        <v>24</v>
      </c>
      <c r="P16" s="6">
        <v>1900</v>
      </c>
      <c r="Q16" s="5" t="s">
        <v>38</v>
      </c>
      <c r="R16" s="6" t="s">
        <v>64</v>
      </c>
    </row>
    <row r="17" spans="1:18" ht="15" thickBot="1" x14ac:dyDescent="0.35">
      <c r="A17" s="19" t="s">
        <v>98</v>
      </c>
      <c r="B17" s="10" t="s">
        <v>99</v>
      </c>
      <c r="C17" s="9" t="s">
        <v>33</v>
      </c>
      <c r="D17" s="10">
        <v>26</v>
      </c>
      <c r="E17" s="9" t="s">
        <v>67</v>
      </c>
      <c r="F17" s="10" t="s">
        <v>68</v>
      </c>
      <c r="G17" s="9" t="s">
        <v>23</v>
      </c>
      <c r="H17" s="10" t="s">
        <v>37</v>
      </c>
      <c r="I17" s="18">
        <v>46042</v>
      </c>
      <c r="J17" s="10" t="s">
        <v>44</v>
      </c>
      <c r="K17" s="9" t="s">
        <v>59</v>
      </c>
      <c r="L17" s="10" t="s">
        <v>44</v>
      </c>
      <c r="M17" s="9" t="s">
        <v>45</v>
      </c>
      <c r="N17" s="10" t="s">
        <v>46</v>
      </c>
      <c r="O17" s="9">
        <v>0</v>
      </c>
      <c r="P17" s="10">
        <v>900</v>
      </c>
      <c r="Q17" s="9" t="s">
        <v>53</v>
      </c>
      <c r="R17" s="10" t="s">
        <v>30</v>
      </c>
    </row>
    <row r="18" spans="1:18" ht="15" thickBot="1" x14ac:dyDescent="0.35">
      <c r="A18" s="17" t="s">
        <v>100</v>
      </c>
      <c r="B18" s="6" t="s">
        <v>101</v>
      </c>
      <c r="C18" s="5" t="s">
        <v>20</v>
      </c>
      <c r="D18" s="6">
        <v>30</v>
      </c>
      <c r="E18" s="5" t="s">
        <v>21</v>
      </c>
      <c r="F18" s="6" t="s">
        <v>102</v>
      </c>
      <c r="G18" s="5" t="s">
        <v>81</v>
      </c>
      <c r="H18" s="6" t="s">
        <v>52</v>
      </c>
      <c r="I18" s="16">
        <v>46043</v>
      </c>
      <c r="J18" s="6" t="s">
        <v>25</v>
      </c>
      <c r="K18" s="5" t="s">
        <v>26</v>
      </c>
      <c r="L18" s="6" t="s">
        <v>26</v>
      </c>
      <c r="M18" s="5" t="s">
        <v>27</v>
      </c>
      <c r="N18" s="6" t="s">
        <v>28</v>
      </c>
      <c r="O18" s="5">
        <v>27</v>
      </c>
      <c r="P18" s="6">
        <v>1700</v>
      </c>
      <c r="Q18" s="5" t="s">
        <v>29</v>
      </c>
      <c r="R18" s="6" t="s">
        <v>54</v>
      </c>
    </row>
    <row r="19" spans="1:18" ht="15" thickBot="1" x14ac:dyDescent="0.35">
      <c r="A19" s="19" t="s">
        <v>103</v>
      </c>
      <c r="B19" s="10" t="s">
        <v>104</v>
      </c>
      <c r="C19" s="9" t="s">
        <v>33</v>
      </c>
      <c r="D19" s="10">
        <v>23</v>
      </c>
      <c r="E19" s="9" t="s">
        <v>79</v>
      </c>
      <c r="F19" s="10" t="s">
        <v>105</v>
      </c>
      <c r="G19" s="9" t="s">
        <v>36</v>
      </c>
      <c r="H19" s="10" t="s">
        <v>43</v>
      </c>
      <c r="I19" s="18">
        <v>46044</v>
      </c>
      <c r="J19" s="10" t="s">
        <v>25</v>
      </c>
      <c r="K19" s="9" t="s">
        <v>26</v>
      </c>
      <c r="L19" s="10" t="s">
        <v>26</v>
      </c>
      <c r="M19" s="9" t="s">
        <v>69</v>
      </c>
      <c r="N19" s="10" t="s">
        <v>46</v>
      </c>
      <c r="O19" s="9">
        <v>0</v>
      </c>
      <c r="P19" s="10">
        <v>750</v>
      </c>
      <c r="Q19" s="9" t="s">
        <v>38</v>
      </c>
      <c r="R19" s="10" t="s">
        <v>82</v>
      </c>
    </row>
    <row r="20" spans="1:18" ht="15" thickBot="1" x14ac:dyDescent="0.35">
      <c r="A20" s="17" t="s">
        <v>106</v>
      </c>
      <c r="B20" s="6" t="s">
        <v>107</v>
      </c>
      <c r="C20" s="5" t="s">
        <v>20</v>
      </c>
      <c r="D20" s="6">
        <v>28</v>
      </c>
      <c r="E20" s="5" t="s">
        <v>57</v>
      </c>
      <c r="F20" s="6" t="s">
        <v>58</v>
      </c>
      <c r="G20" s="5" t="s">
        <v>23</v>
      </c>
      <c r="H20" s="6" t="s">
        <v>24</v>
      </c>
      <c r="I20" s="16">
        <v>46045</v>
      </c>
      <c r="J20" s="6" t="s">
        <v>44</v>
      </c>
      <c r="K20" s="5" t="s">
        <v>59</v>
      </c>
      <c r="L20" s="6" t="s">
        <v>44</v>
      </c>
      <c r="M20" s="5" t="s">
        <v>45</v>
      </c>
      <c r="N20" s="6" t="s">
        <v>46</v>
      </c>
      <c r="O20" s="5">
        <v>0</v>
      </c>
      <c r="P20" s="6">
        <v>650</v>
      </c>
      <c r="Q20" s="5" t="s">
        <v>53</v>
      </c>
      <c r="R20" s="6" t="s">
        <v>30</v>
      </c>
    </row>
    <row r="21" spans="1:18" ht="15" thickBot="1" x14ac:dyDescent="0.35">
      <c r="A21" s="19" t="s">
        <v>108</v>
      </c>
      <c r="B21" s="10" t="s">
        <v>109</v>
      </c>
      <c r="C21" s="9" t="s">
        <v>33</v>
      </c>
      <c r="D21" s="10">
        <v>34</v>
      </c>
      <c r="E21" s="9" t="s">
        <v>110</v>
      </c>
      <c r="F21" s="10" t="s">
        <v>111</v>
      </c>
      <c r="G21" s="9" t="s">
        <v>81</v>
      </c>
      <c r="H21" s="10" t="s">
        <v>37</v>
      </c>
      <c r="I21" s="18">
        <v>46046</v>
      </c>
      <c r="J21" s="10" t="s">
        <v>25</v>
      </c>
      <c r="K21" s="9" t="s">
        <v>26</v>
      </c>
      <c r="L21" s="10" t="s">
        <v>26</v>
      </c>
      <c r="M21" s="9" t="s">
        <v>27</v>
      </c>
      <c r="N21" s="10" t="s">
        <v>28</v>
      </c>
      <c r="O21" s="9">
        <v>29</v>
      </c>
      <c r="P21" s="10">
        <v>2200</v>
      </c>
      <c r="Q21" s="9" t="s">
        <v>29</v>
      </c>
      <c r="R21" s="10" t="s">
        <v>47</v>
      </c>
    </row>
    <row r="22" spans="1:18" ht="15" thickBot="1" x14ac:dyDescent="0.35">
      <c r="A22" s="17" t="s">
        <v>112</v>
      </c>
      <c r="B22" s="6" t="s">
        <v>113</v>
      </c>
      <c r="C22" s="5" t="s">
        <v>20</v>
      </c>
      <c r="D22" s="6">
        <v>24</v>
      </c>
      <c r="E22" s="5" t="s">
        <v>34</v>
      </c>
      <c r="F22" s="6" t="s">
        <v>114</v>
      </c>
      <c r="G22" s="5" t="s">
        <v>36</v>
      </c>
      <c r="H22" s="6" t="s">
        <v>43</v>
      </c>
      <c r="I22" s="16">
        <v>46047</v>
      </c>
      <c r="J22" s="6" t="s">
        <v>25</v>
      </c>
      <c r="K22" s="5" t="s">
        <v>26</v>
      </c>
      <c r="L22" s="6" t="s">
        <v>26</v>
      </c>
      <c r="M22" s="5" t="s">
        <v>27</v>
      </c>
      <c r="N22" s="6" t="s">
        <v>28</v>
      </c>
      <c r="O22" s="5">
        <v>20</v>
      </c>
      <c r="P22" s="6">
        <v>1100</v>
      </c>
      <c r="Q22" s="5" t="s">
        <v>38</v>
      </c>
      <c r="R22" s="6" t="s">
        <v>30</v>
      </c>
    </row>
    <row r="23" spans="1:18" ht="15" thickBot="1" x14ac:dyDescent="0.35">
      <c r="A23" s="19" t="s">
        <v>115</v>
      </c>
      <c r="B23" s="10" t="s">
        <v>116</v>
      </c>
      <c r="C23" s="9" t="s">
        <v>33</v>
      </c>
      <c r="D23" s="10">
        <v>29</v>
      </c>
      <c r="E23" s="9" t="s">
        <v>79</v>
      </c>
      <c r="F23" s="10" t="s">
        <v>117</v>
      </c>
      <c r="G23" s="9" t="s">
        <v>23</v>
      </c>
      <c r="H23" s="10" t="s">
        <v>24</v>
      </c>
      <c r="I23" s="18">
        <v>46048</v>
      </c>
      <c r="J23" s="10" t="s">
        <v>25</v>
      </c>
      <c r="K23" s="9" t="s">
        <v>26</v>
      </c>
      <c r="L23" s="10" t="s">
        <v>26</v>
      </c>
      <c r="M23" s="9" t="s">
        <v>27</v>
      </c>
      <c r="N23" s="10" t="s">
        <v>28</v>
      </c>
      <c r="O23" s="9">
        <v>26</v>
      </c>
      <c r="P23" s="10">
        <v>1800</v>
      </c>
      <c r="Q23" s="9" t="s">
        <v>53</v>
      </c>
      <c r="R23" s="10" t="s">
        <v>82</v>
      </c>
    </row>
    <row r="24" spans="1:18" ht="15" thickBot="1" x14ac:dyDescent="0.35">
      <c r="A24" s="17" t="s">
        <v>118</v>
      </c>
      <c r="B24" s="6" t="s">
        <v>119</v>
      </c>
      <c r="C24" s="5" t="s">
        <v>20</v>
      </c>
      <c r="D24" s="6">
        <v>26</v>
      </c>
      <c r="E24" s="5" t="s">
        <v>41</v>
      </c>
      <c r="F24" s="6" t="s">
        <v>42</v>
      </c>
      <c r="G24" s="5" t="s">
        <v>23</v>
      </c>
      <c r="H24" s="6" t="s">
        <v>37</v>
      </c>
      <c r="I24" s="16">
        <v>46049</v>
      </c>
      <c r="J24" s="6" t="s">
        <v>44</v>
      </c>
      <c r="K24" s="5" t="s">
        <v>59</v>
      </c>
      <c r="L24" s="6" t="s">
        <v>44</v>
      </c>
      <c r="M24" s="5" t="s">
        <v>45</v>
      </c>
      <c r="N24" s="6" t="s">
        <v>46</v>
      </c>
      <c r="O24" s="5">
        <v>0</v>
      </c>
      <c r="P24" s="6">
        <v>800</v>
      </c>
      <c r="Q24" s="5" t="s">
        <v>29</v>
      </c>
      <c r="R24" s="6" t="s">
        <v>47</v>
      </c>
    </row>
    <row r="25" spans="1:18" ht="15" thickBot="1" x14ac:dyDescent="0.35">
      <c r="A25" s="19" t="s">
        <v>120</v>
      </c>
      <c r="B25" s="10" t="s">
        <v>121</v>
      </c>
      <c r="C25" s="9" t="s">
        <v>33</v>
      </c>
      <c r="D25" s="10">
        <v>31</v>
      </c>
      <c r="E25" s="9" t="s">
        <v>62</v>
      </c>
      <c r="F25" s="10" t="s">
        <v>122</v>
      </c>
      <c r="G25" s="9" t="s">
        <v>23</v>
      </c>
      <c r="H25" s="10" t="s">
        <v>52</v>
      </c>
      <c r="I25" s="18">
        <v>46050</v>
      </c>
      <c r="J25" s="10" t="s">
        <v>25</v>
      </c>
      <c r="K25" s="9" t="s">
        <v>26</v>
      </c>
      <c r="L25" s="10" t="s">
        <v>26</v>
      </c>
      <c r="M25" s="9" t="s">
        <v>27</v>
      </c>
      <c r="N25" s="10" t="s">
        <v>28</v>
      </c>
      <c r="O25" s="9">
        <v>21</v>
      </c>
      <c r="P25" s="10">
        <v>1600</v>
      </c>
      <c r="Q25" s="9" t="s">
        <v>38</v>
      </c>
      <c r="R25" s="10" t="s">
        <v>30</v>
      </c>
    </row>
    <row r="26" spans="1:18" ht="15" thickBot="1" x14ac:dyDescent="0.35">
      <c r="A26" s="17" t="s">
        <v>123</v>
      </c>
      <c r="B26" s="6" t="s">
        <v>124</v>
      </c>
      <c r="C26" s="5" t="s">
        <v>20</v>
      </c>
      <c r="D26" s="6">
        <v>23</v>
      </c>
      <c r="E26" s="5" t="s">
        <v>21</v>
      </c>
      <c r="F26" s="6" t="s">
        <v>125</v>
      </c>
      <c r="G26" s="5" t="s">
        <v>36</v>
      </c>
      <c r="H26" s="6" t="s">
        <v>24</v>
      </c>
      <c r="I26" s="16">
        <v>46051</v>
      </c>
      <c r="J26" s="6" t="s">
        <v>25</v>
      </c>
      <c r="K26" s="5" t="s">
        <v>26</v>
      </c>
      <c r="L26" s="6" t="s">
        <v>44</v>
      </c>
      <c r="M26" s="5" t="s">
        <v>45</v>
      </c>
      <c r="N26" s="6" t="s">
        <v>46</v>
      </c>
      <c r="O26" s="5">
        <v>0</v>
      </c>
      <c r="P26" s="6">
        <v>950</v>
      </c>
      <c r="Q26" s="5" t="s">
        <v>53</v>
      </c>
      <c r="R26" s="6" t="s">
        <v>54</v>
      </c>
    </row>
    <row r="27" spans="1:18" ht="15" thickBot="1" x14ac:dyDescent="0.35">
      <c r="A27" s="19" t="s">
        <v>126</v>
      </c>
      <c r="B27" s="10" t="s">
        <v>127</v>
      </c>
      <c r="C27" s="9" t="s">
        <v>33</v>
      </c>
      <c r="D27" s="10">
        <v>27</v>
      </c>
      <c r="E27" s="9" t="s">
        <v>72</v>
      </c>
      <c r="F27" s="10" t="s">
        <v>73</v>
      </c>
      <c r="G27" s="9" t="s">
        <v>23</v>
      </c>
      <c r="H27" s="10" t="s">
        <v>43</v>
      </c>
      <c r="I27" s="18">
        <v>46052</v>
      </c>
      <c r="J27" s="10" t="s">
        <v>25</v>
      </c>
      <c r="K27" s="9" t="s">
        <v>26</v>
      </c>
      <c r="L27" s="10" t="s">
        <v>26</v>
      </c>
      <c r="M27" s="9" t="s">
        <v>27</v>
      </c>
      <c r="N27" s="10" t="s">
        <v>28</v>
      </c>
      <c r="O27" s="9">
        <v>18</v>
      </c>
      <c r="P27" s="10">
        <v>1200</v>
      </c>
      <c r="Q27" s="9" t="s">
        <v>29</v>
      </c>
      <c r="R27" s="10" t="s">
        <v>30</v>
      </c>
    </row>
    <row r="28" spans="1:18" ht="15" thickBot="1" x14ac:dyDescent="0.35">
      <c r="A28" s="17" t="s">
        <v>128</v>
      </c>
      <c r="B28" s="6" t="s">
        <v>129</v>
      </c>
      <c r="C28" s="5" t="s">
        <v>20</v>
      </c>
      <c r="D28" s="6">
        <v>33</v>
      </c>
      <c r="E28" s="5" t="s">
        <v>67</v>
      </c>
      <c r="F28" s="6" t="s">
        <v>130</v>
      </c>
      <c r="G28" s="5" t="s">
        <v>81</v>
      </c>
      <c r="H28" s="6" t="s">
        <v>37</v>
      </c>
      <c r="I28" s="16">
        <v>46053</v>
      </c>
      <c r="J28" s="6" t="s">
        <v>25</v>
      </c>
      <c r="K28" s="5" t="s">
        <v>26</v>
      </c>
      <c r="L28" s="6" t="s">
        <v>26</v>
      </c>
      <c r="M28" s="5" t="s">
        <v>27</v>
      </c>
      <c r="N28" s="6" t="s">
        <v>28</v>
      </c>
      <c r="O28" s="5">
        <v>30</v>
      </c>
      <c r="P28" s="6">
        <v>2500</v>
      </c>
      <c r="Q28" s="5" t="s">
        <v>38</v>
      </c>
      <c r="R28" s="6" t="s">
        <v>64</v>
      </c>
    </row>
    <row r="29" spans="1:18" ht="15" thickBot="1" x14ac:dyDescent="0.35">
      <c r="A29" s="19" t="s">
        <v>131</v>
      </c>
      <c r="B29" s="10" t="s">
        <v>132</v>
      </c>
      <c r="C29" s="9" t="s">
        <v>33</v>
      </c>
      <c r="D29" s="10">
        <v>25</v>
      </c>
      <c r="E29" s="9" t="s">
        <v>50</v>
      </c>
      <c r="F29" s="10" t="s">
        <v>133</v>
      </c>
      <c r="G29" s="9" t="s">
        <v>36</v>
      </c>
      <c r="H29" s="10" t="s">
        <v>24</v>
      </c>
      <c r="I29" s="18">
        <v>46054</v>
      </c>
      <c r="J29" s="10" t="s">
        <v>44</v>
      </c>
      <c r="K29" s="9" t="s">
        <v>59</v>
      </c>
      <c r="L29" s="10" t="s">
        <v>44</v>
      </c>
      <c r="M29" s="9" t="s">
        <v>45</v>
      </c>
      <c r="N29" s="10" t="s">
        <v>46</v>
      </c>
      <c r="O29" s="9">
        <v>0</v>
      </c>
      <c r="P29" s="10">
        <v>700</v>
      </c>
      <c r="Q29" s="9" t="s">
        <v>53</v>
      </c>
      <c r="R29" s="10" t="s">
        <v>54</v>
      </c>
    </row>
    <row r="30" spans="1:18" ht="15" thickBot="1" x14ac:dyDescent="0.35">
      <c r="A30" s="17" t="s">
        <v>134</v>
      </c>
      <c r="B30" s="6" t="s">
        <v>135</v>
      </c>
      <c r="C30" s="5" t="s">
        <v>20</v>
      </c>
      <c r="D30" s="6">
        <v>28</v>
      </c>
      <c r="E30" s="5" t="s">
        <v>57</v>
      </c>
      <c r="F30" s="6" t="s">
        <v>136</v>
      </c>
      <c r="G30" s="5" t="s">
        <v>23</v>
      </c>
      <c r="H30" s="6" t="s">
        <v>43</v>
      </c>
      <c r="I30" s="16">
        <v>46055</v>
      </c>
      <c r="J30" s="6" t="s">
        <v>25</v>
      </c>
      <c r="K30" s="5" t="s">
        <v>26</v>
      </c>
      <c r="L30" s="6" t="s">
        <v>26</v>
      </c>
      <c r="M30" s="5" t="s">
        <v>27</v>
      </c>
      <c r="N30" s="6" t="s">
        <v>28</v>
      </c>
      <c r="O30" s="5">
        <v>23</v>
      </c>
      <c r="P30" s="6">
        <v>1450</v>
      </c>
      <c r="Q30" s="5" t="s">
        <v>29</v>
      </c>
      <c r="R30" s="6" t="s">
        <v>30</v>
      </c>
    </row>
    <row r="31" spans="1:18" ht="15" thickBot="1" x14ac:dyDescent="0.35">
      <c r="A31" s="19" t="s">
        <v>137</v>
      </c>
      <c r="B31" s="10" t="s">
        <v>138</v>
      </c>
      <c r="C31" s="9" t="s">
        <v>33</v>
      </c>
      <c r="D31" s="10">
        <v>30</v>
      </c>
      <c r="E31" s="9" t="s">
        <v>110</v>
      </c>
      <c r="F31" s="10" t="s">
        <v>139</v>
      </c>
      <c r="G31" s="9" t="s">
        <v>23</v>
      </c>
      <c r="H31" s="10" t="s">
        <v>52</v>
      </c>
      <c r="I31" s="18">
        <v>46056</v>
      </c>
      <c r="J31" s="10" t="s">
        <v>25</v>
      </c>
      <c r="K31" s="9" t="s">
        <v>26</v>
      </c>
      <c r="L31" s="10" t="s">
        <v>26</v>
      </c>
      <c r="M31" s="9" t="s">
        <v>69</v>
      </c>
      <c r="N31" s="10" t="s">
        <v>46</v>
      </c>
      <c r="O31" s="9">
        <v>0</v>
      </c>
      <c r="P31" s="10">
        <v>1300</v>
      </c>
      <c r="Q31" s="9" t="s">
        <v>38</v>
      </c>
      <c r="R31" s="10" t="s">
        <v>47</v>
      </c>
    </row>
    <row r="32" spans="1:18" ht="15" thickBot="1" x14ac:dyDescent="0.35">
      <c r="A32" s="17" t="s">
        <v>140</v>
      </c>
      <c r="B32" s="6" t="s">
        <v>141</v>
      </c>
      <c r="C32" s="5" t="s">
        <v>20</v>
      </c>
      <c r="D32" s="6">
        <v>26</v>
      </c>
      <c r="E32" s="5" t="s">
        <v>34</v>
      </c>
      <c r="F32" s="6" t="s">
        <v>35</v>
      </c>
      <c r="G32" s="5" t="s">
        <v>36</v>
      </c>
      <c r="H32" s="6" t="s">
        <v>37</v>
      </c>
      <c r="I32" s="16">
        <v>46057</v>
      </c>
      <c r="J32" s="6" t="s">
        <v>25</v>
      </c>
      <c r="K32" s="5" t="s">
        <v>26</v>
      </c>
      <c r="L32" s="6" t="s">
        <v>26</v>
      </c>
      <c r="M32" s="5" t="s">
        <v>27</v>
      </c>
      <c r="N32" s="6" t="s">
        <v>28</v>
      </c>
      <c r="O32" s="5">
        <v>19</v>
      </c>
      <c r="P32" s="6">
        <v>1050</v>
      </c>
      <c r="Q32" s="5" t="s">
        <v>53</v>
      </c>
      <c r="R32" s="6" t="s">
        <v>30</v>
      </c>
    </row>
    <row r="33" spans="1:18" ht="15" thickBot="1" x14ac:dyDescent="0.35">
      <c r="A33" s="19" t="s">
        <v>142</v>
      </c>
      <c r="B33" s="10" t="s">
        <v>143</v>
      </c>
      <c r="C33" s="9" t="s">
        <v>33</v>
      </c>
      <c r="D33" s="10">
        <v>35</v>
      </c>
      <c r="E33" s="9" t="s">
        <v>41</v>
      </c>
      <c r="F33" s="10" t="s">
        <v>88</v>
      </c>
      <c r="G33" s="9" t="s">
        <v>81</v>
      </c>
      <c r="H33" s="10" t="s">
        <v>24</v>
      </c>
      <c r="I33" s="18">
        <v>46058</v>
      </c>
      <c r="J33" s="10" t="s">
        <v>25</v>
      </c>
      <c r="K33" s="9" t="s">
        <v>26</v>
      </c>
      <c r="L33" s="10" t="s">
        <v>26</v>
      </c>
      <c r="M33" s="9" t="s">
        <v>27</v>
      </c>
      <c r="N33" s="10" t="s">
        <v>28</v>
      </c>
      <c r="O33" s="9">
        <v>33</v>
      </c>
      <c r="P33" s="10">
        <v>2300</v>
      </c>
      <c r="Q33" s="9" t="s">
        <v>29</v>
      </c>
      <c r="R33" s="10" t="s">
        <v>47</v>
      </c>
    </row>
    <row r="34" spans="1:18" ht="15" thickBot="1" x14ac:dyDescent="0.35">
      <c r="A34" s="17" t="s">
        <v>144</v>
      </c>
      <c r="B34" s="6" t="s">
        <v>145</v>
      </c>
      <c r="C34" s="5" t="s">
        <v>20</v>
      </c>
      <c r="D34" s="6">
        <v>24</v>
      </c>
      <c r="E34" s="5" t="s">
        <v>79</v>
      </c>
      <c r="F34" s="6" t="s">
        <v>105</v>
      </c>
      <c r="G34" s="5" t="s">
        <v>36</v>
      </c>
      <c r="H34" s="6" t="s">
        <v>43</v>
      </c>
      <c r="I34" s="16">
        <v>46059</v>
      </c>
      <c r="J34" s="6" t="s">
        <v>44</v>
      </c>
      <c r="K34" s="5" t="s">
        <v>59</v>
      </c>
      <c r="L34" s="6" t="s">
        <v>44</v>
      </c>
      <c r="M34" s="5" t="s">
        <v>45</v>
      </c>
      <c r="N34" s="6" t="s">
        <v>46</v>
      </c>
      <c r="O34" s="5">
        <v>0</v>
      </c>
      <c r="P34" s="6">
        <v>650</v>
      </c>
      <c r="Q34" s="5" t="s">
        <v>38</v>
      </c>
      <c r="R34" s="6" t="s">
        <v>82</v>
      </c>
    </row>
    <row r="35" spans="1:18" ht="15" thickBot="1" x14ac:dyDescent="0.35">
      <c r="A35" s="19" t="s">
        <v>146</v>
      </c>
      <c r="B35" s="10" t="s">
        <v>147</v>
      </c>
      <c r="C35" s="9" t="s">
        <v>33</v>
      </c>
      <c r="D35" s="10">
        <v>29</v>
      </c>
      <c r="E35" s="9" t="s">
        <v>62</v>
      </c>
      <c r="F35" s="10" t="s">
        <v>63</v>
      </c>
      <c r="G35" s="9" t="s">
        <v>23</v>
      </c>
      <c r="H35" s="10" t="s">
        <v>37</v>
      </c>
      <c r="I35" s="18">
        <v>46060</v>
      </c>
      <c r="J35" s="10" t="s">
        <v>25</v>
      </c>
      <c r="K35" s="9" t="s">
        <v>26</v>
      </c>
      <c r="L35" s="10" t="s">
        <v>26</v>
      </c>
      <c r="M35" s="9" t="s">
        <v>27</v>
      </c>
      <c r="N35" s="10" t="s">
        <v>28</v>
      </c>
      <c r="O35" s="9">
        <v>22</v>
      </c>
      <c r="P35" s="10">
        <v>1550</v>
      </c>
      <c r="Q35" s="9" t="s">
        <v>53</v>
      </c>
      <c r="R35" s="10" t="s">
        <v>64</v>
      </c>
    </row>
    <row r="36" spans="1:18" ht="15" thickBot="1" x14ac:dyDescent="0.35">
      <c r="A36" s="17" t="s">
        <v>148</v>
      </c>
      <c r="B36" s="6" t="s">
        <v>149</v>
      </c>
      <c r="C36" s="5" t="s">
        <v>20</v>
      </c>
      <c r="D36" s="6">
        <v>27</v>
      </c>
      <c r="E36" s="5" t="s">
        <v>21</v>
      </c>
      <c r="F36" s="6" t="s">
        <v>22</v>
      </c>
      <c r="G36" s="5" t="s">
        <v>23</v>
      </c>
      <c r="H36" s="6" t="s">
        <v>52</v>
      </c>
      <c r="I36" s="16">
        <v>46061</v>
      </c>
      <c r="J36" s="6" t="s">
        <v>25</v>
      </c>
      <c r="K36" s="5" t="s">
        <v>26</v>
      </c>
      <c r="L36" s="6" t="s">
        <v>26</v>
      </c>
      <c r="M36" s="5" t="s">
        <v>27</v>
      </c>
      <c r="N36" s="6" t="s">
        <v>28</v>
      </c>
      <c r="O36" s="5">
        <v>20</v>
      </c>
      <c r="P36" s="6">
        <v>1150</v>
      </c>
      <c r="Q36" s="5" t="s">
        <v>29</v>
      </c>
      <c r="R36" s="6" t="s">
        <v>30</v>
      </c>
    </row>
    <row r="37" spans="1:18" ht="15" thickBot="1" x14ac:dyDescent="0.35">
      <c r="A37" s="19" t="s">
        <v>150</v>
      </c>
      <c r="B37" s="10" t="s">
        <v>151</v>
      </c>
      <c r="C37" s="9" t="s">
        <v>33</v>
      </c>
      <c r="D37" s="10">
        <v>25</v>
      </c>
      <c r="E37" s="9" t="s">
        <v>72</v>
      </c>
      <c r="F37" s="10" t="s">
        <v>94</v>
      </c>
      <c r="G37" s="9" t="s">
        <v>36</v>
      </c>
      <c r="H37" s="10" t="s">
        <v>24</v>
      </c>
      <c r="I37" s="18">
        <v>46062</v>
      </c>
      <c r="J37" s="10" t="s">
        <v>25</v>
      </c>
      <c r="K37" s="9" t="s">
        <v>26</v>
      </c>
      <c r="L37" s="10" t="s">
        <v>26</v>
      </c>
      <c r="M37" s="9" t="s">
        <v>27</v>
      </c>
      <c r="N37" s="10" t="s">
        <v>28</v>
      </c>
      <c r="O37" s="9">
        <v>17</v>
      </c>
      <c r="P37" s="10">
        <v>900</v>
      </c>
      <c r="Q37" s="9" t="s">
        <v>38</v>
      </c>
      <c r="R37" s="10" t="s">
        <v>54</v>
      </c>
    </row>
    <row r="38" spans="1:18" ht="15" thickBot="1" x14ac:dyDescent="0.35">
      <c r="A38" s="17" t="s">
        <v>152</v>
      </c>
      <c r="B38" s="6" t="s">
        <v>153</v>
      </c>
      <c r="C38" s="5" t="s">
        <v>20</v>
      </c>
      <c r="D38" s="6">
        <v>31</v>
      </c>
      <c r="E38" s="5" t="s">
        <v>67</v>
      </c>
      <c r="F38" s="6" t="s">
        <v>154</v>
      </c>
      <c r="G38" s="5" t="s">
        <v>81</v>
      </c>
      <c r="H38" s="6" t="s">
        <v>43</v>
      </c>
      <c r="I38" s="16">
        <v>46063</v>
      </c>
      <c r="J38" s="6" t="s">
        <v>25</v>
      </c>
      <c r="K38" s="5" t="s">
        <v>26</v>
      </c>
      <c r="L38" s="6" t="s">
        <v>44</v>
      </c>
      <c r="M38" s="5" t="s">
        <v>45</v>
      </c>
      <c r="N38" s="6" t="s">
        <v>46</v>
      </c>
      <c r="O38" s="5">
        <v>0</v>
      </c>
      <c r="P38" s="6">
        <v>1400</v>
      </c>
      <c r="Q38" s="5" t="s">
        <v>53</v>
      </c>
      <c r="R38" s="6" t="s">
        <v>30</v>
      </c>
    </row>
    <row r="39" spans="1:18" ht="15" thickBot="1" x14ac:dyDescent="0.35">
      <c r="A39" s="19" t="s">
        <v>155</v>
      </c>
      <c r="B39" s="10" t="s">
        <v>156</v>
      </c>
      <c r="C39" s="9" t="s">
        <v>33</v>
      </c>
      <c r="D39" s="10">
        <v>28</v>
      </c>
      <c r="E39" s="9" t="s">
        <v>50</v>
      </c>
      <c r="F39" s="10" t="s">
        <v>51</v>
      </c>
      <c r="G39" s="9" t="s">
        <v>23</v>
      </c>
      <c r="H39" s="10" t="s">
        <v>37</v>
      </c>
      <c r="I39" s="18">
        <v>46064</v>
      </c>
      <c r="J39" s="10" t="s">
        <v>25</v>
      </c>
      <c r="K39" s="9" t="s">
        <v>26</v>
      </c>
      <c r="L39" s="10" t="s">
        <v>26</v>
      </c>
      <c r="M39" s="9" t="s">
        <v>27</v>
      </c>
      <c r="N39" s="10" t="s">
        <v>28</v>
      </c>
      <c r="O39" s="9">
        <v>24</v>
      </c>
      <c r="P39" s="10">
        <v>1250</v>
      </c>
      <c r="Q39" s="9" t="s">
        <v>29</v>
      </c>
      <c r="R39" s="10" t="s">
        <v>54</v>
      </c>
    </row>
    <row r="40" spans="1:18" ht="15" thickBot="1" x14ac:dyDescent="0.35">
      <c r="A40" s="17" t="s">
        <v>157</v>
      </c>
      <c r="B40" s="6" t="s">
        <v>158</v>
      </c>
      <c r="C40" s="5" t="s">
        <v>20</v>
      </c>
      <c r="D40" s="6">
        <v>23</v>
      </c>
      <c r="E40" s="5" t="s">
        <v>57</v>
      </c>
      <c r="F40" s="6" t="s">
        <v>159</v>
      </c>
      <c r="G40" s="5" t="s">
        <v>36</v>
      </c>
      <c r="H40" s="6" t="s">
        <v>24</v>
      </c>
      <c r="I40" s="16">
        <v>46065</v>
      </c>
      <c r="J40" s="6" t="s">
        <v>44</v>
      </c>
      <c r="K40" s="5" t="s">
        <v>59</v>
      </c>
      <c r="L40" s="6" t="s">
        <v>44</v>
      </c>
      <c r="M40" s="5" t="s">
        <v>45</v>
      </c>
      <c r="N40" s="6" t="s">
        <v>46</v>
      </c>
      <c r="O40" s="5">
        <v>0</v>
      </c>
      <c r="P40" s="6">
        <v>600</v>
      </c>
      <c r="Q40" s="5" t="s">
        <v>38</v>
      </c>
      <c r="R40" s="6" t="s">
        <v>30</v>
      </c>
    </row>
    <row r="41" spans="1:18" ht="15" thickBot="1" x14ac:dyDescent="0.35">
      <c r="A41" s="19" t="s">
        <v>160</v>
      </c>
      <c r="B41" s="10" t="s">
        <v>161</v>
      </c>
      <c r="C41" s="9" t="s">
        <v>33</v>
      </c>
      <c r="D41" s="10">
        <v>32</v>
      </c>
      <c r="E41" s="9" t="s">
        <v>110</v>
      </c>
      <c r="F41" s="10" t="s">
        <v>162</v>
      </c>
      <c r="G41" s="9" t="s">
        <v>81</v>
      </c>
      <c r="H41" s="10" t="s">
        <v>52</v>
      </c>
      <c r="I41" s="18">
        <v>46066</v>
      </c>
      <c r="J41" s="10" t="s">
        <v>25</v>
      </c>
      <c r="K41" s="9" t="s">
        <v>26</v>
      </c>
      <c r="L41" s="10" t="s">
        <v>26</v>
      </c>
      <c r="M41" s="9" t="s">
        <v>27</v>
      </c>
      <c r="N41" s="10" t="s">
        <v>28</v>
      </c>
      <c r="O41" s="9">
        <v>35</v>
      </c>
      <c r="P41" s="10">
        <v>2600</v>
      </c>
      <c r="Q41" s="9" t="s">
        <v>53</v>
      </c>
      <c r="R41" s="10" t="s">
        <v>47</v>
      </c>
    </row>
    <row r="42" spans="1:18" ht="15" thickBot="1" x14ac:dyDescent="0.35">
      <c r="A42" s="17" t="s">
        <v>163</v>
      </c>
      <c r="B42" s="6" t="s">
        <v>164</v>
      </c>
      <c r="C42" s="5" t="s">
        <v>20</v>
      </c>
      <c r="D42" s="6">
        <v>26</v>
      </c>
      <c r="E42" s="5" t="s">
        <v>34</v>
      </c>
      <c r="F42" s="6" t="s">
        <v>85</v>
      </c>
      <c r="G42" s="5" t="s">
        <v>23</v>
      </c>
      <c r="H42" s="6" t="s">
        <v>43</v>
      </c>
      <c r="I42" s="16">
        <v>46067</v>
      </c>
      <c r="J42" s="6" t="s">
        <v>25</v>
      </c>
      <c r="K42" s="5" t="s">
        <v>26</v>
      </c>
      <c r="L42" s="6" t="s">
        <v>26</v>
      </c>
      <c r="M42" s="5" t="s">
        <v>27</v>
      </c>
      <c r="N42" s="6" t="s">
        <v>28</v>
      </c>
      <c r="O42" s="5">
        <v>18</v>
      </c>
      <c r="P42" s="6">
        <v>1150</v>
      </c>
      <c r="Q42" s="5" t="s">
        <v>29</v>
      </c>
      <c r="R42" s="6" t="s">
        <v>30</v>
      </c>
    </row>
    <row r="43" spans="1:18" ht="15" thickBot="1" x14ac:dyDescent="0.35">
      <c r="A43" s="19" t="s">
        <v>165</v>
      </c>
      <c r="B43" s="10" t="s">
        <v>166</v>
      </c>
      <c r="C43" s="9" t="s">
        <v>33</v>
      </c>
      <c r="D43" s="10">
        <v>24</v>
      </c>
      <c r="E43" s="9" t="s">
        <v>79</v>
      </c>
      <c r="F43" s="10" t="s">
        <v>105</v>
      </c>
      <c r="G43" s="9" t="s">
        <v>36</v>
      </c>
      <c r="H43" s="10" t="s">
        <v>37</v>
      </c>
      <c r="I43" s="18">
        <v>46068</v>
      </c>
      <c r="J43" s="10" t="s">
        <v>25</v>
      </c>
      <c r="K43" s="9" t="s">
        <v>26</v>
      </c>
      <c r="L43" s="10" t="s">
        <v>26</v>
      </c>
      <c r="M43" s="9" t="s">
        <v>27</v>
      </c>
      <c r="N43" s="10" t="s">
        <v>28</v>
      </c>
      <c r="O43" s="9">
        <v>21</v>
      </c>
      <c r="P43" s="10">
        <v>850</v>
      </c>
      <c r="Q43" s="9" t="s">
        <v>38</v>
      </c>
      <c r="R43" s="10" t="s">
        <v>82</v>
      </c>
    </row>
    <row r="44" spans="1:18" ht="15" thickBot="1" x14ac:dyDescent="0.35">
      <c r="A44" s="17" t="s">
        <v>167</v>
      </c>
      <c r="B44" s="6" t="s">
        <v>168</v>
      </c>
      <c r="C44" s="5" t="s">
        <v>20</v>
      </c>
      <c r="D44" s="6">
        <v>30</v>
      </c>
      <c r="E44" s="5" t="s">
        <v>41</v>
      </c>
      <c r="F44" s="6" t="s">
        <v>169</v>
      </c>
      <c r="G44" s="5" t="s">
        <v>81</v>
      </c>
      <c r="H44" s="6" t="s">
        <v>24</v>
      </c>
      <c r="I44" s="16">
        <v>46069</v>
      </c>
      <c r="J44" s="6" t="s">
        <v>25</v>
      </c>
      <c r="K44" s="5" t="s">
        <v>26</v>
      </c>
      <c r="L44" s="6" t="s">
        <v>26</v>
      </c>
      <c r="M44" s="5" t="s">
        <v>69</v>
      </c>
      <c r="N44" s="6" t="s">
        <v>46</v>
      </c>
      <c r="O44" s="5">
        <v>0</v>
      </c>
      <c r="P44" s="6">
        <v>1700</v>
      </c>
      <c r="Q44" s="5" t="s">
        <v>53</v>
      </c>
      <c r="R44" s="6" t="s">
        <v>47</v>
      </c>
    </row>
    <row r="45" spans="1:18" ht="15" thickBot="1" x14ac:dyDescent="0.35">
      <c r="A45" s="19" t="s">
        <v>170</v>
      </c>
      <c r="B45" s="10" t="s">
        <v>171</v>
      </c>
      <c r="C45" s="9" t="s">
        <v>33</v>
      </c>
      <c r="D45" s="10">
        <v>27</v>
      </c>
      <c r="E45" s="9" t="s">
        <v>62</v>
      </c>
      <c r="F45" s="10" t="s">
        <v>63</v>
      </c>
      <c r="G45" s="9" t="s">
        <v>23</v>
      </c>
      <c r="H45" s="10" t="s">
        <v>52</v>
      </c>
      <c r="I45" s="18">
        <v>46070</v>
      </c>
      <c r="J45" s="10" t="s">
        <v>25</v>
      </c>
      <c r="K45" s="9" t="s">
        <v>26</v>
      </c>
      <c r="L45" s="10" t="s">
        <v>26</v>
      </c>
      <c r="M45" s="9" t="s">
        <v>27</v>
      </c>
      <c r="N45" s="10" t="s">
        <v>28</v>
      </c>
      <c r="O45" s="9">
        <v>20</v>
      </c>
      <c r="P45" s="10">
        <v>1450</v>
      </c>
      <c r="Q45" s="9" t="s">
        <v>29</v>
      </c>
      <c r="R45" s="10" t="s">
        <v>64</v>
      </c>
    </row>
    <row r="46" spans="1:18" ht="15" thickBot="1" x14ac:dyDescent="0.35">
      <c r="A46" s="17" t="s">
        <v>172</v>
      </c>
      <c r="B46" s="6" t="s">
        <v>173</v>
      </c>
      <c r="C46" s="5" t="s">
        <v>20</v>
      </c>
      <c r="D46" s="6">
        <v>25</v>
      </c>
      <c r="E46" s="5" t="s">
        <v>21</v>
      </c>
      <c r="F46" s="6" t="s">
        <v>174</v>
      </c>
      <c r="G46" s="5" t="s">
        <v>36</v>
      </c>
      <c r="H46" s="6" t="s">
        <v>43</v>
      </c>
      <c r="I46" s="16">
        <v>46071</v>
      </c>
      <c r="J46" s="6" t="s">
        <v>44</v>
      </c>
      <c r="K46" s="5" t="s">
        <v>59</v>
      </c>
      <c r="L46" s="6" t="s">
        <v>44</v>
      </c>
      <c r="M46" s="5" t="s">
        <v>45</v>
      </c>
      <c r="N46" s="6" t="s">
        <v>46</v>
      </c>
      <c r="O46" s="5">
        <v>0</v>
      </c>
      <c r="P46" s="6">
        <v>750</v>
      </c>
      <c r="Q46" s="5" t="s">
        <v>38</v>
      </c>
      <c r="R46" s="6" t="s">
        <v>30</v>
      </c>
    </row>
    <row r="47" spans="1:18" ht="15" thickBot="1" x14ac:dyDescent="0.35">
      <c r="A47" s="19" t="s">
        <v>175</v>
      </c>
      <c r="B47" s="10" t="s">
        <v>176</v>
      </c>
      <c r="C47" s="9" t="s">
        <v>33</v>
      </c>
      <c r="D47" s="10">
        <v>29</v>
      </c>
      <c r="E47" s="9" t="s">
        <v>72</v>
      </c>
      <c r="F47" s="10" t="s">
        <v>177</v>
      </c>
      <c r="G47" s="9" t="s">
        <v>81</v>
      </c>
      <c r="H47" s="10" t="s">
        <v>37</v>
      </c>
      <c r="I47" s="18">
        <v>46072</v>
      </c>
      <c r="J47" s="10" t="s">
        <v>25</v>
      </c>
      <c r="K47" s="9" t="s">
        <v>26</v>
      </c>
      <c r="L47" s="10" t="s">
        <v>26</v>
      </c>
      <c r="M47" s="9" t="s">
        <v>27</v>
      </c>
      <c r="N47" s="10" t="s">
        <v>28</v>
      </c>
      <c r="O47" s="9">
        <v>27</v>
      </c>
      <c r="P47" s="10">
        <v>2100</v>
      </c>
      <c r="Q47" s="9" t="s">
        <v>53</v>
      </c>
      <c r="R47" s="10" t="s">
        <v>30</v>
      </c>
    </row>
    <row r="48" spans="1:18" ht="15" thickBot="1" x14ac:dyDescent="0.35">
      <c r="A48" s="17" t="s">
        <v>178</v>
      </c>
      <c r="B48" s="6" t="s">
        <v>179</v>
      </c>
      <c r="C48" s="5" t="s">
        <v>20</v>
      </c>
      <c r="D48" s="6">
        <v>28</v>
      </c>
      <c r="E48" s="5" t="s">
        <v>67</v>
      </c>
      <c r="F48" s="6" t="s">
        <v>180</v>
      </c>
      <c r="G48" s="5" t="s">
        <v>23</v>
      </c>
      <c r="H48" s="6" t="s">
        <v>24</v>
      </c>
      <c r="I48" s="16">
        <v>46073</v>
      </c>
      <c r="J48" s="6" t="s">
        <v>25</v>
      </c>
      <c r="K48" s="5" t="s">
        <v>26</v>
      </c>
      <c r="L48" s="6" t="s">
        <v>26</v>
      </c>
      <c r="M48" s="5" t="s">
        <v>27</v>
      </c>
      <c r="N48" s="6" t="s">
        <v>28</v>
      </c>
      <c r="O48" s="5">
        <v>25</v>
      </c>
      <c r="P48" s="6">
        <v>1350</v>
      </c>
      <c r="Q48" s="5" t="s">
        <v>29</v>
      </c>
      <c r="R48" s="6" t="s">
        <v>30</v>
      </c>
    </row>
    <row r="49" spans="1:18" ht="15" thickBot="1" x14ac:dyDescent="0.35">
      <c r="A49" s="19" t="s">
        <v>181</v>
      </c>
      <c r="B49" s="10" t="s">
        <v>182</v>
      </c>
      <c r="C49" s="9" t="s">
        <v>33</v>
      </c>
      <c r="D49" s="10">
        <v>33</v>
      </c>
      <c r="E49" s="9" t="s">
        <v>50</v>
      </c>
      <c r="F49" s="10" t="s">
        <v>183</v>
      </c>
      <c r="G49" s="9" t="s">
        <v>81</v>
      </c>
      <c r="H49" s="10" t="s">
        <v>52</v>
      </c>
      <c r="I49" s="18">
        <v>46074</v>
      </c>
      <c r="J49" s="10" t="s">
        <v>25</v>
      </c>
      <c r="K49" s="9" t="s">
        <v>26</v>
      </c>
      <c r="L49" s="10" t="s">
        <v>26</v>
      </c>
      <c r="M49" s="9" t="s">
        <v>27</v>
      </c>
      <c r="N49" s="10" t="s">
        <v>28</v>
      </c>
      <c r="O49" s="9">
        <v>32</v>
      </c>
      <c r="P49" s="10">
        <v>1900</v>
      </c>
      <c r="Q49" s="9" t="s">
        <v>38</v>
      </c>
      <c r="R49" s="10" t="s">
        <v>54</v>
      </c>
    </row>
    <row r="50" spans="1:18" ht="15" thickBot="1" x14ac:dyDescent="0.35">
      <c r="A50" s="17" t="s">
        <v>184</v>
      </c>
      <c r="B50" s="6" t="s">
        <v>185</v>
      </c>
      <c r="C50" s="5" t="s">
        <v>20</v>
      </c>
      <c r="D50" s="5">
        <v>24</v>
      </c>
      <c r="E50" s="6" t="s">
        <v>57</v>
      </c>
      <c r="F50" s="5" t="s">
        <v>186</v>
      </c>
      <c r="G50" s="6" t="s">
        <v>36</v>
      </c>
      <c r="H50" s="5" t="s">
        <v>43</v>
      </c>
      <c r="I50" s="7">
        <v>46075</v>
      </c>
      <c r="J50" s="5" t="s">
        <v>44</v>
      </c>
      <c r="K50" s="5" t="s">
        <v>59</v>
      </c>
      <c r="L50" s="6" t="s">
        <v>44</v>
      </c>
      <c r="M50" s="5" t="s">
        <v>45</v>
      </c>
      <c r="N50" s="6" t="s">
        <v>46</v>
      </c>
      <c r="O50" s="5">
        <v>0</v>
      </c>
      <c r="P50" s="6">
        <v>650</v>
      </c>
      <c r="Q50" s="5" t="s">
        <v>53</v>
      </c>
      <c r="R50" s="6" t="s">
        <v>30</v>
      </c>
    </row>
    <row r="51" spans="1:18" x14ac:dyDescent="0.3">
      <c r="A51" s="19" t="s">
        <v>187</v>
      </c>
      <c r="B51" s="10" t="s">
        <v>188</v>
      </c>
      <c r="C51" s="9" t="s">
        <v>33</v>
      </c>
      <c r="D51" s="10">
        <v>30</v>
      </c>
      <c r="E51" s="9" t="s">
        <v>79</v>
      </c>
      <c r="F51" s="10" t="s">
        <v>80</v>
      </c>
      <c r="G51" s="9" t="s">
        <v>81</v>
      </c>
      <c r="H51" s="10" t="s">
        <v>37</v>
      </c>
      <c r="I51" s="18">
        <v>46076</v>
      </c>
      <c r="J51" s="10" t="s">
        <v>25</v>
      </c>
      <c r="K51" s="9" t="s">
        <v>26</v>
      </c>
      <c r="L51" s="10" t="s">
        <v>26</v>
      </c>
      <c r="M51" s="9" t="s">
        <v>27</v>
      </c>
      <c r="N51" s="10" t="s">
        <v>28</v>
      </c>
      <c r="O51" s="9">
        <v>29</v>
      </c>
      <c r="P51" s="10">
        <v>2000</v>
      </c>
      <c r="Q51" s="77" t="s">
        <v>29</v>
      </c>
      <c r="R51" s="10" t="s">
        <v>82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C1D4-24FB-4671-B851-CA9ED547FEA8}">
  <dimension ref="A1:L82"/>
  <sheetViews>
    <sheetView zoomScale="60" zoomScaleNormal="60" workbookViewId="0">
      <selection activeCell="C5" sqref="C5"/>
    </sheetView>
  </sheetViews>
  <sheetFormatPr defaultRowHeight="14.4" x14ac:dyDescent="0.3"/>
  <cols>
    <col min="1" max="1" width="72.5546875" customWidth="1"/>
    <col min="2" max="2" width="26.21875" customWidth="1"/>
    <col min="3" max="3" width="30.6640625" customWidth="1"/>
    <col min="4" max="4" width="48.88671875" customWidth="1"/>
  </cols>
  <sheetData>
    <row r="1" spans="1:12" x14ac:dyDescent="0.3">
      <c r="A1" s="91" t="s">
        <v>189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3"/>
    </row>
    <row r="2" spans="1:12" ht="15" thickBot="1" x14ac:dyDescent="0.35">
      <c r="A2" s="94"/>
      <c r="B2" s="95"/>
      <c r="C2" s="95"/>
      <c r="D2" s="95"/>
      <c r="E2" s="95"/>
      <c r="F2" s="95"/>
      <c r="G2" s="95"/>
      <c r="H2" s="95"/>
      <c r="I2" s="95"/>
      <c r="J2" s="95"/>
      <c r="K2" s="95"/>
      <c r="L2" s="96"/>
    </row>
    <row r="3" spans="1:12" ht="15" thickBot="1" x14ac:dyDescent="0.35"/>
    <row r="4" spans="1:12" ht="16.2" thickBot="1" x14ac:dyDescent="0.35">
      <c r="A4" s="59" t="s">
        <v>190</v>
      </c>
      <c r="B4" s="31">
        <f>COUNTA('[1]Recruitment Dataset '!A2:A51)</f>
        <v>50</v>
      </c>
    </row>
    <row r="5" spans="1:12" ht="16.2" thickBot="1" x14ac:dyDescent="0.35">
      <c r="A5" s="59" t="s">
        <v>191</v>
      </c>
      <c r="B5" s="31">
        <v>36</v>
      </c>
    </row>
    <row r="6" spans="1:12" ht="16.2" thickBot="1" x14ac:dyDescent="0.35">
      <c r="A6" s="59" t="s">
        <v>192</v>
      </c>
      <c r="B6" s="31">
        <v>14</v>
      </c>
    </row>
    <row r="7" spans="1:12" ht="16.2" thickBot="1" x14ac:dyDescent="0.35">
      <c r="A7" s="59" t="s">
        <v>193</v>
      </c>
      <c r="B7" s="31">
        <v>32</v>
      </c>
    </row>
    <row r="8" spans="1:12" ht="16.2" thickBot="1" x14ac:dyDescent="0.35">
      <c r="A8" s="59" t="s">
        <v>194</v>
      </c>
      <c r="B8" s="31">
        <v>32</v>
      </c>
    </row>
    <row r="9" spans="1:12" ht="16.2" thickBot="1" x14ac:dyDescent="0.35">
      <c r="A9" s="59" t="s">
        <v>195</v>
      </c>
      <c r="B9" s="31">
        <v>23.47</v>
      </c>
    </row>
    <row r="10" spans="1:12" ht="16.2" thickBot="1" x14ac:dyDescent="0.35">
      <c r="A10" s="59" t="s">
        <v>196</v>
      </c>
      <c r="B10" s="32">
        <v>66050</v>
      </c>
    </row>
    <row r="11" spans="1:12" ht="16.2" thickBot="1" x14ac:dyDescent="0.35">
      <c r="A11" s="59" t="s">
        <v>197</v>
      </c>
      <c r="B11" s="32">
        <v>1321</v>
      </c>
    </row>
    <row r="12" spans="1:12" ht="16.2" thickBot="1" x14ac:dyDescent="0.35">
      <c r="A12" s="59" t="s">
        <v>198</v>
      </c>
      <c r="B12" s="33">
        <v>0.88890000000000002</v>
      </c>
    </row>
    <row r="13" spans="1:12" ht="16.2" thickBot="1" x14ac:dyDescent="0.35">
      <c r="A13" s="59" t="s">
        <v>199</v>
      </c>
      <c r="B13" s="34">
        <v>0.72</v>
      </c>
    </row>
    <row r="14" spans="1:12" ht="16.2" thickBot="1" x14ac:dyDescent="0.35">
      <c r="A14" s="59" t="s">
        <v>200</v>
      </c>
      <c r="B14" s="34">
        <v>0.64</v>
      </c>
    </row>
    <row r="15" spans="1:12" ht="16.2" thickBot="1" x14ac:dyDescent="0.35">
      <c r="A15" s="59" t="s">
        <v>201</v>
      </c>
      <c r="B15" s="34">
        <v>0.28000000000000003</v>
      </c>
    </row>
    <row r="16" spans="1:12" ht="16.2" thickBot="1" x14ac:dyDescent="0.35">
      <c r="A16" s="59" t="s">
        <v>202</v>
      </c>
      <c r="B16" s="35">
        <v>2064.06</v>
      </c>
    </row>
    <row r="17" spans="1:12" ht="16.2" thickBot="1" x14ac:dyDescent="0.35">
      <c r="A17" s="59" t="s">
        <v>203</v>
      </c>
      <c r="B17" s="35">
        <v>1834.72</v>
      </c>
    </row>
    <row r="18" spans="1:12" ht="16.2" thickBot="1" x14ac:dyDescent="0.35">
      <c r="A18" s="59" t="s">
        <v>204</v>
      </c>
      <c r="B18" s="31">
        <v>4</v>
      </c>
    </row>
    <row r="19" spans="1:12" ht="16.2" thickBot="1" x14ac:dyDescent="0.35">
      <c r="A19" s="59" t="s">
        <v>205</v>
      </c>
      <c r="B19" s="31">
        <v>14</v>
      </c>
    </row>
    <row r="20" spans="1:12" ht="16.2" thickBot="1" x14ac:dyDescent="0.35">
      <c r="A20" s="59" t="s">
        <v>206</v>
      </c>
      <c r="B20" s="36">
        <v>0.1111</v>
      </c>
    </row>
    <row r="21" spans="1:12" ht="16.2" thickBot="1" x14ac:dyDescent="0.35">
      <c r="A21" s="59" t="s">
        <v>253</v>
      </c>
      <c r="B21" s="31">
        <v>1560.94</v>
      </c>
    </row>
    <row r="22" spans="1:12" ht="16.2" thickBot="1" x14ac:dyDescent="0.35">
      <c r="A22" s="59" t="s">
        <v>207</v>
      </c>
      <c r="B22" s="31">
        <v>18</v>
      </c>
    </row>
    <row r="23" spans="1:12" ht="15" thickBot="1" x14ac:dyDescent="0.35"/>
    <row r="24" spans="1:12" ht="16.2" customHeight="1" x14ac:dyDescent="0.3">
      <c r="A24" s="97" t="s">
        <v>208</v>
      </c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9"/>
    </row>
    <row r="25" spans="1:12" ht="15" thickBot="1" x14ac:dyDescent="0.35">
      <c r="A25" s="100"/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</row>
    <row r="26" spans="1:12" ht="15" thickBot="1" x14ac:dyDescent="0.35"/>
    <row r="27" spans="1:12" ht="21.6" thickBot="1" x14ac:dyDescent="0.45">
      <c r="A27" s="58" t="s">
        <v>209</v>
      </c>
      <c r="B27" s="54" t="s">
        <v>190</v>
      </c>
      <c r="C27" s="52" t="s">
        <v>193</v>
      </c>
      <c r="D27" s="52" t="s">
        <v>200</v>
      </c>
    </row>
    <row r="28" spans="1:12" ht="18.600000000000001" thickBot="1" x14ac:dyDescent="0.4">
      <c r="A28" s="21" t="s">
        <v>24</v>
      </c>
      <c r="B28" s="22">
        <v>14</v>
      </c>
      <c r="C28" s="21">
        <v>7</v>
      </c>
      <c r="D28" s="23">
        <v>0.5</v>
      </c>
    </row>
    <row r="29" spans="1:12" ht="18.600000000000001" thickBot="1" x14ac:dyDescent="0.4">
      <c r="A29" s="24" t="s">
        <v>37</v>
      </c>
      <c r="B29" s="25">
        <v>14</v>
      </c>
      <c r="C29" s="24">
        <v>11</v>
      </c>
      <c r="D29" s="26">
        <v>0.78569999999999995</v>
      </c>
    </row>
    <row r="30" spans="1:12" ht="18.600000000000001" thickBot="1" x14ac:dyDescent="0.4">
      <c r="A30" s="21" t="s">
        <v>43</v>
      </c>
      <c r="B30" s="22">
        <v>12</v>
      </c>
      <c r="C30" s="21">
        <v>5</v>
      </c>
      <c r="D30" s="27">
        <v>0.41670000000000001</v>
      </c>
    </row>
    <row r="31" spans="1:12" ht="18.600000000000001" thickBot="1" x14ac:dyDescent="0.4">
      <c r="A31" s="28" t="s">
        <v>52</v>
      </c>
      <c r="B31" s="29">
        <v>10</v>
      </c>
      <c r="C31" s="28">
        <v>9</v>
      </c>
      <c r="D31" s="30">
        <v>0.9</v>
      </c>
    </row>
    <row r="32" spans="1:12" ht="15" thickBot="1" x14ac:dyDescent="0.35"/>
    <row r="33" spans="1:12" x14ac:dyDescent="0.3">
      <c r="A33" s="103" t="s">
        <v>210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5"/>
    </row>
    <row r="34" spans="1:12" ht="15" thickBot="1" x14ac:dyDescent="0.35">
      <c r="A34" s="106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8"/>
    </row>
    <row r="35" spans="1:12" ht="15" thickBot="1" x14ac:dyDescent="0.35">
      <c r="A35" s="37"/>
    </row>
    <row r="36" spans="1:12" ht="18.600000000000001" thickBot="1" x14ac:dyDescent="0.4">
      <c r="A36" s="52" t="s">
        <v>211</v>
      </c>
      <c r="B36" s="52" t="s">
        <v>190</v>
      </c>
      <c r="C36" s="52" t="s">
        <v>193</v>
      </c>
      <c r="D36" s="52" t="s">
        <v>200</v>
      </c>
    </row>
    <row r="37" spans="1:12" ht="18.600000000000001" thickBot="1" x14ac:dyDescent="0.35">
      <c r="A37" s="55" t="s">
        <v>21</v>
      </c>
      <c r="B37" s="39">
        <v>6</v>
      </c>
      <c r="C37" s="40">
        <v>3</v>
      </c>
      <c r="D37" s="41">
        <v>0.5</v>
      </c>
      <c r="E37" s="38"/>
    </row>
    <row r="38" spans="1:12" ht="18.600000000000001" thickBot="1" x14ac:dyDescent="0.35">
      <c r="A38" s="56" t="s">
        <v>34</v>
      </c>
      <c r="B38" s="42">
        <v>5</v>
      </c>
      <c r="C38" s="39">
        <v>5</v>
      </c>
      <c r="D38" s="43">
        <v>1</v>
      </c>
    </row>
    <row r="39" spans="1:12" ht="18.600000000000001" thickBot="1" x14ac:dyDescent="0.35">
      <c r="A39" s="57" t="s">
        <v>41</v>
      </c>
      <c r="B39" s="39">
        <v>5</v>
      </c>
      <c r="C39" s="42">
        <v>2</v>
      </c>
      <c r="D39" s="41">
        <v>0.4</v>
      </c>
    </row>
    <row r="40" spans="1:12" ht="18.600000000000001" thickBot="1" x14ac:dyDescent="0.35">
      <c r="A40" s="56" t="s">
        <v>50</v>
      </c>
      <c r="B40" s="42">
        <v>5</v>
      </c>
      <c r="C40" s="39">
        <v>3</v>
      </c>
      <c r="D40" s="43">
        <v>0.6</v>
      </c>
    </row>
    <row r="41" spans="1:12" ht="18.600000000000001" thickBot="1" x14ac:dyDescent="0.35">
      <c r="A41" s="57" t="s">
        <v>57</v>
      </c>
      <c r="B41" s="39">
        <v>5</v>
      </c>
      <c r="C41" s="42">
        <v>1</v>
      </c>
      <c r="D41" s="41">
        <v>0.2</v>
      </c>
    </row>
    <row r="42" spans="1:12" ht="18.600000000000001" thickBot="1" x14ac:dyDescent="0.35">
      <c r="A42" s="56" t="s">
        <v>62</v>
      </c>
      <c r="B42" s="42">
        <v>5</v>
      </c>
      <c r="C42" s="39">
        <v>5</v>
      </c>
      <c r="D42" s="43">
        <v>1</v>
      </c>
    </row>
    <row r="43" spans="1:12" ht="18.600000000000001" thickBot="1" x14ac:dyDescent="0.35">
      <c r="A43" s="57" t="s">
        <v>67</v>
      </c>
      <c r="B43" s="39">
        <v>5</v>
      </c>
      <c r="C43" s="42">
        <v>2</v>
      </c>
      <c r="D43" s="41">
        <v>0.4</v>
      </c>
    </row>
    <row r="44" spans="1:12" ht="18.600000000000001" thickBot="1" x14ac:dyDescent="0.35">
      <c r="A44" s="56" t="s">
        <v>72</v>
      </c>
      <c r="B44" s="42">
        <v>5</v>
      </c>
      <c r="C44" s="39">
        <v>5</v>
      </c>
      <c r="D44" s="43">
        <v>1</v>
      </c>
    </row>
    <row r="45" spans="1:12" ht="18.600000000000001" thickBot="1" x14ac:dyDescent="0.35">
      <c r="A45" s="57" t="s">
        <v>79</v>
      </c>
      <c r="B45" s="39">
        <v>6</v>
      </c>
      <c r="C45" s="42">
        <v>4</v>
      </c>
      <c r="D45" s="44">
        <v>0.66669999999999996</v>
      </c>
    </row>
    <row r="46" spans="1:12" ht="18.600000000000001" thickBot="1" x14ac:dyDescent="0.35">
      <c r="A46" s="56" t="s">
        <v>110</v>
      </c>
      <c r="B46" s="45">
        <v>3</v>
      </c>
      <c r="C46" s="39">
        <v>2</v>
      </c>
      <c r="D46" s="46">
        <v>0.66669999999999996</v>
      </c>
    </row>
    <row r="47" spans="1:12" ht="15" thickBot="1" x14ac:dyDescent="0.35">
      <c r="A47" s="20"/>
    </row>
    <row r="48" spans="1:12" x14ac:dyDescent="0.3">
      <c r="A48" s="85" t="s">
        <v>213</v>
      </c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7"/>
    </row>
    <row r="49" spans="1:12" ht="15" thickBot="1" x14ac:dyDescent="0.35">
      <c r="A49" s="88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90"/>
    </row>
    <row r="50" spans="1:12" ht="15" thickBot="1" x14ac:dyDescent="0.35"/>
    <row r="51" spans="1:12" ht="18.600000000000001" thickBot="1" x14ac:dyDescent="0.4">
      <c r="A51" s="52" t="s">
        <v>212</v>
      </c>
      <c r="B51" s="53" t="s">
        <v>190</v>
      </c>
      <c r="C51" s="52" t="s">
        <v>193</v>
      </c>
      <c r="D51" s="54" t="s">
        <v>200</v>
      </c>
    </row>
    <row r="52" spans="1:12" ht="18.600000000000001" thickBot="1" x14ac:dyDescent="0.4">
      <c r="A52" s="47" t="s">
        <v>29</v>
      </c>
      <c r="B52" s="21">
        <v>18</v>
      </c>
      <c r="C52" s="22">
        <v>15</v>
      </c>
      <c r="D52" s="48">
        <v>0.83330000000000004</v>
      </c>
    </row>
    <row r="53" spans="1:12" ht="18.600000000000001" thickBot="1" x14ac:dyDescent="0.4">
      <c r="A53" s="49" t="s">
        <v>38</v>
      </c>
      <c r="B53" s="24">
        <v>16</v>
      </c>
      <c r="C53" s="25">
        <v>10</v>
      </c>
      <c r="D53" s="50">
        <v>0.625</v>
      </c>
    </row>
    <row r="54" spans="1:12" ht="18.600000000000001" thickBot="1" x14ac:dyDescent="0.4">
      <c r="A54" s="51" t="s">
        <v>53</v>
      </c>
      <c r="B54" s="21">
        <v>16</v>
      </c>
      <c r="C54" s="22">
        <v>7</v>
      </c>
      <c r="D54" s="48">
        <v>0.4375</v>
      </c>
    </row>
    <row r="55" spans="1:12" ht="15" thickBot="1" x14ac:dyDescent="0.35"/>
    <row r="56" spans="1:12" x14ac:dyDescent="0.3">
      <c r="A56" s="103" t="s">
        <v>214</v>
      </c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5"/>
    </row>
    <row r="57" spans="1:12" ht="15" thickBot="1" x14ac:dyDescent="0.35">
      <c r="A57" s="106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8"/>
    </row>
    <row r="58" spans="1:12" ht="15" thickBot="1" x14ac:dyDescent="0.35"/>
    <row r="59" spans="1:12" ht="18.600000000000001" thickBot="1" x14ac:dyDescent="0.4">
      <c r="A59" s="52" t="s">
        <v>215</v>
      </c>
      <c r="B59" s="54" t="s">
        <v>216</v>
      </c>
      <c r="C59" s="52" t="s">
        <v>222</v>
      </c>
    </row>
    <row r="60" spans="1:12" ht="18.600000000000001" thickBot="1" x14ac:dyDescent="0.4">
      <c r="A60" s="39" t="s">
        <v>217</v>
      </c>
      <c r="B60" s="60">
        <v>50</v>
      </c>
      <c r="C60" s="65">
        <v>1</v>
      </c>
    </row>
    <row r="61" spans="1:12" ht="18.600000000000001" thickBot="1" x14ac:dyDescent="0.4">
      <c r="A61" s="61" t="s">
        <v>218</v>
      </c>
      <c r="B61" s="62">
        <v>36</v>
      </c>
      <c r="C61" s="66">
        <v>0.72</v>
      </c>
    </row>
    <row r="62" spans="1:12" ht="18.600000000000001" thickBot="1" x14ac:dyDescent="0.4">
      <c r="A62" s="39" t="s">
        <v>219</v>
      </c>
      <c r="B62" s="60">
        <v>36</v>
      </c>
      <c r="C62" s="65">
        <v>1</v>
      </c>
    </row>
    <row r="63" spans="1:12" ht="18.600000000000001" thickBot="1" x14ac:dyDescent="0.4">
      <c r="A63" s="61" t="s">
        <v>220</v>
      </c>
      <c r="B63" s="62">
        <v>36</v>
      </c>
      <c r="C63" s="66">
        <v>1</v>
      </c>
    </row>
    <row r="64" spans="1:12" ht="18.600000000000001" thickBot="1" x14ac:dyDescent="0.4">
      <c r="A64" s="39" t="s">
        <v>221</v>
      </c>
      <c r="B64" s="60">
        <v>32</v>
      </c>
      <c r="C64" s="50">
        <v>0.88890000000000002</v>
      </c>
    </row>
    <row r="65" spans="1:12" ht="18.600000000000001" thickBot="1" x14ac:dyDescent="0.4">
      <c r="A65" s="63" t="s">
        <v>28</v>
      </c>
      <c r="B65" s="64">
        <v>32</v>
      </c>
      <c r="C65" s="66">
        <v>1</v>
      </c>
    </row>
    <row r="66" spans="1:12" ht="15" thickBot="1" x14ac:dyDescent="0.35">
      <c r="A66" s="20"/>
    </row>
    <row r="67" spans="1:12" x14ac:dyDescent="0.3">
      <c r="A67" s="85" t="s">
        <v>223</v>
      </c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7"/>
    </row>
    <row r="68" spans="1:12" ht="15" thickBot="1" x14ac:dyDescent="0.35">
      <c r="A68" s="88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90"/>
    </row>
    <row r="69" spans="1:12" ht="15" thickBot="1" x14ac:dyDescent="0.35"/>
    <row r="70" spans="1:12" ht="18.600000000000001" thickBot="1" x14ac:dyDescent="0.4">
      <c r="A70" s="52" t="s">
        <v>224</v>
      </c>
      <c r="B70" s="53" t="s">
        <v>190</v>
      </c>
      <c r="C70" s="52" t="s">
        <v>193</v>
      </c>
      <c r="D70" s="54" t="s">
        <v>200</v>
      </c>
    </row>
    <row r="71" spans="1:12" ht="18.600000000000001" thickBot="1" x14ac:dyDescent="0.4">
      <c r="A71" s="21" t="s">
        <v>36</v>
      </c>
      <c r="B71" s="22">
        <v>16</v>
      </c>
      <c r="C71" s="21">
        <v>8</v>
      </c>
      <c r="D71" s="23">
        <v>0.5</v>
      </c>
    </row>
    <row r="72" spans="1:12" ht="18.600000000000001" thickBot="1" x14ac:dyDescent="0.4">
      <c r="A72" s="24" t="s">
        <v>23</v>
      </c>
      <c r="B72" s="25">
        <v>20</v>
      </c>
      <c r="C72" s="24">
        <v>13</v>
      </c>
      <c r="D72" s="68">
        <v>0.65</v>
      </c>
    </row>
    <row r="73" spans="1:12" ht="18.600000000000001" thickBot="1" x14ac:dyDescent="0.4">
      <c r="A73" s="21" t="s">
        <v>81</v>
      </c>
      <c r="B73" s="22">
        <v>14</v>
      </c>
      <c r="C73" s="21">
        <v>11</v>
      </c>
      <c r="D73" s="27">
        <v>0.78569999999999995</v>
      </c>
    </row>
    <row r="74" spans="1:12" ht="15" thickBot="1" x14ac:dyDescent="0.35"/>
    <row r="75" spans="1:12" x14ac:dyDescent="0.3">
      <c r="A75" s="85" t="s">
        <v>225</v>
      </c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7"/>
    </row>
    <row r="76" spans="1:12" ht="15" thickBot="1" x14ac:dyDescent="0.35">
      <c r="A76" s="88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90"/>
    </row>
    <row r="77" spans="1:12" ht="15" thickBot="1" x14ac:dyDescent="0.35"/>
    <row r="78" spans="1:12" ht="18.600000000000001" thickBot="1" x14ac:dyDescent="0.4">
      <c r="A78" s="67" t="s">
        <v>226</v>
      </c>
      <c r="B78" s="52" t="s">
        <v>227</v>
      </c>
      <c r="C78" s="53" t="s">
        <v>228</v>
      </c>
      <c r="D78" s="52" t="s">
        <v>229</v>
      </c>
    </row>
    <row r="79" spans="1:12" ht="18.600000000000001" thickBot="1" x14ac:dyDescent="0.4">
      <c r="A79" s="21" t="s">
        <v>230</v>
      </c>
      <c r="B79" s="69">
        <v>66050</v>
      </c>
      <c r="C79" s="21" t="s">
        <v>234</v>
      </c>
      <c r="D79" s="70" t="s">
        <v>235</v>
      </c>
    </row>
    <row r="80" spans="1:12" ht="18.600000000000001" thickBot="1" x14ac:dyDescent="0.4">
      <c r="A80" s="24" t="s">
        <v>231</v>
      </c>
      <c r="B80" s="71">
        <v>1321</v>
      </c>
      <c r="C80" s="24" t="s">
        <v>234</v>
      </c>
      <c r="D80" s="72" t="s">
        <v>236</v>
      </c>
    </row>
    <row r="81" spans="1:4" ht="18.600000000000001" thickBot="1" x14ac:dyDescent="0.4">
      <c r="A81" s="21" t="s">
        <v>232</v>
      </c>
      <c r="B81" s="73">
        <v>1834.72</v>
      </c>
      <c r="C81" s="21" t="s">
        <v>234</v>
      </c>
      <c r="D81" s="70" t="s">
        <v>237</v>
      </c>
    </row>
    <row r="82" spans="1:4" ht="18.600000000000001" thickBot="1" x14ac:dyDescent="0.4">
      <c r="A82" s="28" t="s">
        <v>233</v>
      </c>
      <c r="B82" s="74">
        <v>2064.06</v>
      </c>
      <c r="C82" s="28" t="s">
        <v>234</v>
      </c>
      <c r="D82" s="75" t="s">
        <v>238</v>
      </c>
    </row>
  </sheetData>
  <mergeCells count="7">
    <mergeCell ref="A67:L68"/>
    <mergeCell ref="A75:L76"/>
    <mergeCell ref="A1:L2"/>
    <mergeCell ref="A24:L25"/>
    <mergeCell ref="A33:L34"/>
    <mergeCell ref="A48:L49"/>
    <mergeCell ref="A56:L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B1632-9AC6-46C4-A411-0BEC26A0BBFB}">
  <dimension ref="A1:H99"/>
  <sheetViews>
    <sheetView tabSelected="1" zoomScale="68" zoomScaleNormal="68" workbookViewId="0">
      <selection activeCell="A105" sqref="A105"/>
    </sheetView>
  </sheetViews>
  <sheetFormatPr defaultRowHeight="14.4" x14ac:dyDescent="0.3"/>
  <cols>
    <col min="1" max="1" width="35.21875" customWidth="1"/>
    <col min="2" max="2" width="21.33203125" customWidth="1"/>
    <col min="3" max="4" width="21.77734375" customWidth="1"/>
    <col min="5" max="5" width="21.6640625" customWidth="1"/>
    <col min="6" max="6" width="16.88671875" customWidth="1"/>
    <col min="7" max="7" width="20.21875" customWidth="1"/>
    <col min="8" max="8" width="16.77734375" customWidth="1"/>
  </cols>
  <sheetData>
    <row r="1" spans="1:8" x14ac:dyDescent="0.3">
      <c r="A1" s="157" t="s">
        <v>189</v>
      </c>
      <c r="B1" s="158"/>
      <c r="C1" s="158"/>
      <c r="D1" s="158"/>
      <c r="E1" s="158"/>
      <c r="F1" s="158"/>
      <c r="G1" s="158"/>
      <c r="H1" s="159"/>
    </row>
    <row r="2" spans="1:8" ht="15" thickBot="1" x14ac:dyDescent="0.35">
      <c r="A2" s="160"/>
      <c r="B2" s="161"/>
      <c r="C2" s="161"/>
      <c r="D2" s="161"/>
      <c r="E2" s="161"/>
      <c r="F2" s="161"/>
      <c r="G2" s="161"/>
      <c r="H2" s="162"/>
    </row>
    <row r="3" spans="1:8" ht="21.6" thickBot="1" x14ac:dyDescent="0.35">
      <c r="A3" s="166" t="s">
        <v>239</v>
      </c>
      <c r="B3" s="167"/>
      <c r="C3" s="167"/>
      <c r="D3" s="167"/>
      <c r="E3" s="167"/>
      <c r="F3" s="167"/>
      <c r="G3" s="167"/>
      <c r="H3" s="168"/>
    </row>
    <row r="4" spans="1:8" ht="15" thickBot="1" x14ac:dyDescent="0.35"/>
    <row r="5" spans="1:8" ht="18.600000000000001" thickBot="1" x14ac:dyDescent="0.35">
      <c r="A5" s="163" t="s">
        <v>240</v>
      </c>
      <c r="B5" s="164"/>
      <c r="C5" s="164"/>
      <c r="D5" s="164"/>
      <c r="E5" s="164"/>
      <c r="F5" s="164"/>
      <c r="G5" s="164"/>
      <c r="H5" s="165"/>
    </row>
    <row r="6" spans="1:8" ht="15" thickBot="1" x14ac:dyDescent="0.35"/>
    <row r="7" spans="1:8" ht="16.2" thickBot="1" x14ac:dyDescent="0.35">
      <c r="A7" s="117" t="s">
        <v>241</v>
      </c>
      <c r="B7" s="169">
        <v>50</v>
      </c>
      <c r="C7" s="118" t="s">
        <v>242</v>
      </c>
      <c r="D7" s="169">
        <v>36</v>
      </c>
      <c r="E7" s="118" t="s">
        <v>243</v>
      </c>
      <c r="F7" s="169">
        <v>32</v>
      </c>
      <c r="G7" s="118" t="s">
        <v>244</v>
      </c>
      <c r="H7" s="170">
        <v>0.64</v>
      </c>
    </row>
    <row r="8" spans="1:8" ht="15" thickBot="1" x14ac:dyDescent="0.35"/>
    <row r="9" spans="1:8" ht="16.2" thickBot="1" x14ac:dyDescent="0.35">
      <c r="A9" s="135" t="s">
        <v>245</v>
      </c>
      <c r="B9" s="143" t="s">
        <v>246</v>
      </c>
      <c r="C9" s="135" t="s">
        <v>247</v>
      </c>
      <c r="D9" s="136" t="s">
        <v>248</v>
      </c>
    </row>
    <row r="10" spans="1:8" ht="29.4" customHeight="1" thickBot="1" x14ac:dyDescent="0.35">
      <c r="A10" s="135" t="s">
        <v>7</v>
      </c>
      <c r="B10" s="143" t="s">
        <v>241</v>
      </c>
      <c r="C10" s="135" t="s">
        <v>243</v>
      </c>
      <c r="D10" s="136" t="s">
        <v>249</v>
      </c>
    </row>
    <row r="11" spans="1:8" ht="16.2" thickBot="1" x14ac:dyDescent="0.35">
      <c r="A11" s="146" t="s">
        <v>24</v>
      </c>
      <c r="B11" s="137">
        <v>14</v>
      </c>
      <c r="C11" s="145">
        <v>7</v>
      </c>
      <c r="D11" s="147">
        <v>0.5</v>
      </c>
    </row>
    <row r="12" spans="1:8" ht="16.2" thickBot="1" x14ac:dyDescent="0.35">
      <c r="A12" s="148" t="s">
        <v>37</v>
      </c>
      <c r="B12" s="139">
        <v>14</v>
      </c>
      <c r="C12" s="144">
        <v>11</v>
      </c>
      <c r="D12" s="149">
        <v>0.78569999999999995</v>
      </c>
    </row>
    <row r="13" spans="1:8" ht="16.2" thickBot="1" x14ac:dyDescent="0.35">
      <c r="A13" s="146" t="s">
        <v>43</v>
      </c>
      <c r="B13" s="137">
        <v>12</v>
      </c>
      <c r="C13" s="145">
        <v>5</v>
      </c>
      <c r="D13" s="150">
        <v>0.41670000000000001</v>
      </c>
    </row>
    <row r="14" spans="1:8" ht="16.2" thickBot="1" x14ac:dyDescent="0.35">
      <c r="A14" s="151" t="s">
        <v>52</v>
      </c>
      <c r="B14" s="141">
        <v>10</v>
      </c>
      <c r="C14" s="152">
        <v>9</v>
      </c>
      <c r="D14" s="153">
        <v>0.9</v>
      </c>
    </row>
    <row r="15" spans="1:8" ht="16.2" thickBot="1" x14ac:dyDescent="0.35">
      <c r="A15" s="154"/>
      <c r="B15" s="154"/>
      <c r="C15" s="155" t="s">
        <v>7</v>
      </c>
      <c r="D15" s="135" t="s">
        <v>249</v>
      </c>
    </row>
    <row r="16" spans="1:8" ht="16.2" thickBot="1" x14ac:dyDescent="0.35">
      <c r="A16" s="154"/>
      <c r="B16" s="154"/>
      <c r="C16" s="148" t="s">
        <v>24</v>
      </c>
      <c r="D16" s="156">
        <v>0.5</v>
      </c>
    </row>
    <row r="17" spans="1:8" ht="16.2" thickBot="1" x14ac:dyDescent="0.35">
      <c r="A17" s="154"/>
      <c r="B17" s="154"/>
      <c r="C17" s="146" t="s">
        <v>37</v>
      </c>
      <c r="D17" s="150">
        <v>0.78569999999999995</v>
      </c>
    </row>
    <row r="18" spans="1:8" ht="16.2" thickBot="1" x14ac:dyDescent="0.35">
      <c r="A18" s="154"/>
      <c r="B18" s="154"/>
      <c r="C18" s="148" t="s">
        <v>43</v>
      </c>
      <c r="D18" s="149">
        <v>0.41670000000000001</v>
      </c>
    </row>
    <row r="19" spans="1:8" ht="16.2" thickBot="1" x14ac:dyDescent="0.35">
      <c r="A19" s="154"/>
      <c r="B19" s="154"/>
      <c r="C19" s="146" t="s">
        <v>52</v>
      </c>
      <c r="D19" s="147">
        <v>0.9</v>
      </c>
    </row>
    <row r="21" spans="1:8" x14ac:dyDescent="0.3">
      <c r="A21" s="84" t="s">
        <v>250</v>
      </c>
      <c r="B21" s="84"/>
      <c r="C21" s="84"/>
      <c r="D21" s="84"/>
      <c r="E21" s="84"/>
      <c r="F21" s="84"/>
      <c r="G21" s="84"/>
      <c r="H21" s="84"/>
    </row>
    <row r="22" spans="1:8" x14ac:dyDescent="0.3">
      <c r="A22" s="84"/>
      <c r="B22" s="84"/>
      <c r="C22" s="84"/>
      <c r="D22" s="84"/>
      <c r="E22" s="84"/>
      <c r="F22" s="84"/>
      <c r="G22" s="84"/>
      <c r="H22" s="84"/>
    </row>
    <row r="23" spans="1:8" ht="15" thickBot="1" x14ac:dyDescent="0.35"/>
    <row r="24" spans="1:8" ht="16.2" thickBot="1" x14ac:dyDescent="0.35">
      <c r="A24" s="135" t="s">
        <v>4</v>
      </c>
      <c r="B24" s="143" t="s">
        <v>241</v>
      </c>
      <c r="C24" s="135" t="s">
        <v>243</v>
      </c>
    </row>
    <row r="25" spans="1:8" ht="16.2" thickBot="1" x14ac:dyDescent="0.35">
      <c r="A25" s="139" t="s">
        <v>21</v>
      </c>
      <c r="B25" s="144">
        <v>6</v>
      </c>
      <c r="C25" s="139">
        <v>3</v>
      </c>
    </row>
    <row r="26" spans="1:8" ht="16.2" thickBot="1" x14ac:dyDescent="0.35">
      <c r="A26" s="137" t="s">
        <v>34</v>
      </c>
      <c r="B26" s="145">
        <v>5</v>
      </c>
      <c r="C26" s="137">
        <v>5</v>
      </c>
    </row>
    <row r="27" spans="1:8" ht="16.2" thickBot="1" x14ac:dyDescent="0.35">
      <c r="A27" s="139" t="s">
        <v>41</v>
      </c>
      <c r="B27" s="144">
        <v>5</v>
      </c>
      <c r="C27" s="139">
        <v>2</v>
      </c>
    </row>
    <row r="28" spans="1:8" ht="16.2" thickBot="1" x14ac:dyDescent="0.35">
      <c r="A28" s="137" t="s">
        <v>50</v>
      </c>
      <c r="B28" s="145">
        <v>5</v>
      </c>
      <c r="C28" s="137">
        <v>3</v>
      </c>
    </row>
    <row r="29" spans="1:8" ht="16.2" thickBot="1" x14ac:dyDescent="0.35">
      <c r="A29" s="139" t="s">
        <v>57</v>
      </c>
      <c r="B29" s="144">
        <v>5</v>
      </c>
      <c r="C29" s="139">
        <v>1</v>
      </c>
    </row>
    <row r="30" spans="1:8" ht="16.2" thickBot="1" x14ac:dyDescent="0.35">
      <c r="A30" s="137" t="s">
        <v>62</v>
      </c>
      <c r="B30" s="145">
        <v>5</v>
      </c>
      <c r="C30" s="137">
        <v>5</v>
      </c>
    </row>
    <row r="31" spans="1:8" ht="16.2" thickBot="1" x14ac:dyDescent="0.35">
      <c r="A31" s="139" t="s">
        <v>67</v>
      </c>
      <c r="B31" s="144">
        <v>5</v>
      </c>
      <c r="C31" s="139">
        <v>2</v>
      </c>
    </row>
    <row r="32" spans="1:8" ht="16.2" thickBot="1" x14ac:dyDescent="0.35">
      <c r="A32" s="137" t="s">
        <v>72</v>
      </c>
      <c r="B32" s="145">
        <v>5</v>
      </c>
      <c r="C32" s="137">
        <v>5</v>
      </c>
    </row>
    <row r="33" spans="1:8" ht="16.2" thickBot="1" x14ac:dyDescent="0.35">
      <c r="A33" s="139" t="s">
        <v>79</v>
      </c>
      <c r="B33" s="144">
        <v>6</v>
      </c>
      <c r="C33" s="139">
        <v>4</v>
      </c>
    </row>
    <row r="34" spans="1:8" ht="16.2" thickBot="1" x14ac:dyDescent="0.35">
      <c r="A34" s="137" t="s">
        <v>110</v>
      </c>
      <c r="B34" s="145">
        <v>3</v>
      </c>
      <c r="C34" s="137">
        <v>2</v>
      </c>
    </row>
    <row r="35" spans="1:8" ht="15" thickBot="1" x14ac:dyDescent="0.35"/>
    <row r="36" spans="1:8" x14ac:dyDescent="0.3">
      <c r="A36" s="78" t="s">
        <v>214</v>
      </c>
      <c r="B36" s="79"/>
      <c r="C36" s="79"/>
      <c r="D36" s="79"/>
      <c r="E36" s="79"/>
      <c r="F36" s="79"/>
      <c r="G36" s="79"/>
      <c r="H36" s="80"/>
    </row>
    <row r="37" spans="1:8" ht="15" thickBot="1" x14ac:dyDescent="0.35">
      <c r="A37" s="81"/>
      <c r="B37" s="82"/>
      <c r="C37" s="82"/>
      <c r="D37" s="82"/>
      <c r="E37" s="82"/>
      <c r="F37" s="82"/>
      <c r="G37" s="82"/>
      <c r="H37" s="83"/>
    </row>
    <row r="38" spans="1:8" ht="15" thickBot="1" x14ac:dyDescent="0.35"/>
    <row r="39" spans="1:8" ht="16.2" thickBot="1" x14ac:dyDescent="0.35">
      <c r="A39" s="135" t="s">
        <v>251</v>
      </c>
      <c r="B39" s="136" t="s">
        <v>252</v>
      </c>
    </row>
    <row r="40" spans="1:8" ht="16.2" thickBot="1" x14ac:dyDescent="0.35">
      <c r="A40" s="137" t="s">
        <v>217</v>
      </c>
      <c r="B40" s="138">
        <v>50</v>
      </c>
    </row>
    <row r="41" spans="1:8" ht="16.2" thickBot="1" x14ac:dyDescent="0.35">
      <c r="A41" s="139" t="s">
        <v>218</v>
      </c>
      <c r="B41" s="140">
        <v>36</v>
      </c>
    </row>
    <row r="42" spans="1:8" ht="16.2" thickBot="1" x14ac:dyDescent="0.35">
      <c r="A42" s="137" t="s">
        <v>219</v>
      </c>
      <c r="B42" s="138">
        <v>36</v>
      </c>
    </row>
    <row r="43" spans="1:8" ht="16.2" thickBot="1" x14ac:dyDescent="0.35">
      <c r="A43" s="139" t="s">
        <v>220</v>
      </c>
      <c r="B43" s="140">
        <v>36</v>
      </c>
    </row>
    <row r="44" spans="1:8" ht="16.2" thickBot="1" x14ac:dyDescent="0.35">
      <c r="A44" s="137" t="s">
        <v>221</v>
      </c>
      <c r="B44" s="138">
        <v>32</v>
      </c>
    </row>
    <row r="45" spans="1:8" ht="16.2" thickBot="1" x14ac:dyDescent="0.35">
      <c r="A45" s="141" t="s">
        <v>28</v>
      </c>
      <c r="B45" s="142">
        <v>32</v>
      </c>
    </row>
    <row r="49" spans="1:8" ht="15" thickBot="1" x14ac:dyDescent="0.35"/>
    <row r="50" spans="1:8" x14ac:dyDescent="0.3">
      <c r="A50" s="78" t="s">
        <v>225</v>
      </c>
      <c r="B50" s="79"/>
      <c r="C50" s="79"/>
      <c r="D50" s="79"/>
      <c r="E50" s="79"/>
      <c r="F50" s="79"/>
      <c r="G50" s="79"/>
      <c r="H50" s="80"/>
    </row>
    <row r="51" spans="1:8" ht="15" thickBot="1" x14ac:dyDescent="0.35">
      <c r="A51" s="81"/>
      <c r="B51" s="82"/>
      <c r="C51" s="82"/>
      <c r="D51" s="82"/>
      <c r="E51" s="82"/>
      <c r="F51" s="82"/>
      <c r="G51" s="82"/>
      <c r="H51" s="83"/>
    </row>
    <row r="52" spans="1:8" ht="15" thickBot="1" x14ac:dyDescent="0.35"/>
    <row r="53" spans="1:8" ht="16.2" thickBot="1" x14ac:dyDescent="0.35">
      <c r="A53" s="128" t="s">
        <v>230</v>
      </c>
      <c r="B53" s="129">
        <v>66050</v>
      </c>
    </row>
    <row r="54" spans="1:8" ht="16.2" thickBot="1" x14ac:dyDescent="0.35">
      <c r="A54" s="130" t="s">
        <v>231</v>
      </c>
      <c r="B54" s="131">
        <v>1321</v>
      </c>
    </row>
    <row r="55" spans="1:8" ht="16.2" thickBot="1" x14ac:dyDescent="0.35">
      <c r="A55" s="128" t="s">
        <v>232</v>
      </c>
      <c r="B55" s="132">
        <v>1834.72</v>
      </c>
    </row>
    <row r="56" spans="1:8" ht="16.2" thickBot="1" x14ac:dyDescent="0.35">
      <c r="A56" s="133" t="s">
        <v>233</v>
      </c>
      <c r="B56" s="134">
        <v>2064.06</v>
      </c>
    </row>
    <row r="67" spans="1:8" ht="15" thickBot="1" x14ac:dyDescent="0.35"/>
    <row r="68" spans="1:8" x14ac:dyDescent="0.3">
      <c r="A68" s="78" t="s">
        <v>213</v>
      </c>
      <c r="B68" s="79"/>
      <c r="C68" s="79"/>
      <c r="D68" s="79"/>
      <c r="E68" s="79"/>
      <c r="F68" s="79"/>
      <c r="G68" s="79"/>
      <c r="H68" s="80"/>
    </row>
    <row r="69" spans="1:8" ht="15" thickBot="1" x14ac:dyDescent="0.35">
      <c r="A69" s="81"/>
      <c r="B69" s="82"/>
      <c r="C69" s="82"/>
      <c r="D69" s="82"/>
      <c r="E69" s="82"/>
      <c r="F69" s="82"/>
      <c r="G69" s="82"/>
      <c r="H69" s="83"/>
    </row>
    <row r="70" spans="1:8" ht="15" thickBot="1" x14ac:dyDescent="0.35"/>
    <row r="71" spans="1:8" ht="16.2" thickBot="1" x14ac:dyDescent="0.35">
      <c r="A71" s="120" t="s">
        <v>212</v>
      </c>
      <c r="B71" s="118" t="s">
        <v>190</v>
      </c>
      <c r="C71" s="120" t="s">
        <v>193</v>
      </c>
      <c r="D71" s="119" t="s">
        <v>200</v>
      </c>
    </row>
    <row r="72" spans="1:8" ht="16.2" thickBot="1" x14ac:dyDescent="0.35">
      <c r="A72" s="109" t="s">
        <v>29</v>
      </c>
      <c r="B72" s="111">
        <v>18</v>
      </c>
      <c r="C72" s="112">
        <v>15</v>
      </c>
      <c r="D72" s="113">
        <v>0.83330000000000004</v>
      </c>
    </row>
    <row r="73" spans="1:8" ht="16.2" thickBot="1" x14ac:dyDescent="0.35">
      <c r="A73" s="110" t="s">
        <v>38</v>
      </c>
      <c r="B73" s="114">
        <v>16</v>
      </c>
      <c r="C73" s="115">
        <v>10</v>
      </c>
      <c r="D73" s="116">
        <v>0.625</v>
      </c>
    </row>
    <row r="74" spans="1:8" ht="16.2" thickBot="1" x14ac:dyDescent="0.35">
      <c r="A74" s="109" t="s">
        <v>53</v>
      </c>
      <c r="B74" s="111">
        <v>16</v>
      </c>
      <c r="C74" s="112">
        <v>7</v>
      </c>
      <c r="D74" s="113">
        <v>0.4375</v>
      </c>
    </row>
    <row r="76" spans="1:8" ht="15" thickBot="1" x14ac:dyDescent="0.35"/>
    <row r="77" spans="1:8" ht="16.2" thickBot="1" x14ac:dyDescent="0.35">
      <c r="A77" s="117" t="s">
        <v>212</v>
      </c>
      <c r="B77" s="120" t="s">
        <v>193</v>
      </c>
    </row>
    <row r="78" spans="1:8" ht="16.2" thickBot="1" x14ac:dyDescent="0.35">
      <c r="A78" s="109" t="s">
        <v>29</v>
      </c>
      <c r="B78" s="111">
        <v>15</v>
      </c>
    </row>
    <row r="79" spans="1:8" ht="16.2" thickBot="1" x14ac:dyDescent="0.35">
      <c r="A79" s="110" t="s">
        <v>38</v>
      </c>
      <c r="B79" s="114">
        <v>10</v>
      </c>
    </row>
    <row r="80" spans="1:8" ht="16.2" thickBot="1" x14ac:dyDescent="0.35">
      <c r="A80" s="109" t="s">
        <v>53</v>
      </c>
      <c r="B80" s="111">
        <v>7</v>
      </c>
    </row>
    <row r="87" spans="1:8" ht="15" thickBot="1" x14ac:dyDescent="0.35"/>
    <row r="88" spans="1:8" x14ac:dyDescent="0.3">
      <c r="A88" s="78" t="s">
        <v>223</v>
      </c>
      <c r="B88" s="79"/>
      <c r="C88" s="79"/>
      <c r="D88" s="79"/>
      <c r="E88" s="79"/>
      <c r="F88" s="79"/>
      <c r="G88" s="79"/>
      <c r="H88" s="80"/>
    </row>
    <row r="89" spans="1:8" ht="15" thickBot="1" x14ac:dyDescent="0.35">
      <c r="A89" s="81"/>
      <c r="B89" s="82"/>
      <c r="C89" s="82"/>
      <c r="D89" s="82"/>
      <c r="E89" s="82"/>
      <c r="F89" s="82"/>
      <c r="G89" s="82"/>
      <c r="H89" s="83"/>
    </row>
    <row r="90" spans="1:8" ht="15" thickBot="1" x14ac:dyDescent="0.35"/>
    <row r="91" spans="1:8" ht="16.2" thickBot="1" x14ac:dyDescent="0.35">
      <c r="A91" s="121" t="s">
        <v>224</v>
      </c>
      <c r="B91" s="122" t="s">
        <v>190</v>
      </c>
      <c r="C91" s="121" t="s">
        <v>193</v>
      </c>
      <c r="D91" s="123" t="s">
        <v>200</v>
      </c>
    </row>
    <row r="92" spans="1:8" ht="16.2" thickBot="1" x14ac:dyDescent="0.35">
      <c r="A92" s="111" t="s">
        <v>36</v>
      </c>
      <c r="B92" s="112">
        <v>16</v>
      </c>
      <c r="C92" s="111">
        <v>8</v>
      </c>
      <c r="D92" s="124">
        <v>0.5</v>
      </c>
    </row>
    <row r="93" spans="1:8" ht="16.2" thickBot="1" x14ac:dyDescent="0.35">
      <c r="A93" s="114" t="s">
        <v>23</v>
      </c>
      <c r="B93" s="125">
        <v>20</v>
      </c>
      <c r="C93" s="114">
        <v>13</v>
      </c>
      <c r="D93" s="126">
        <v>0.65</v>
      </c>
    </row>
    <row r="94" spans="1:8" ht="16.2" thickBot="1" x14ac:dyDescent="0.35">
      <c r="A94" s="111" t="s">
        <v>81</v>
      </c>
      <c r="B94" s="112">
        <v>14</v>
      </c>
      <c r="C94" s="111">
        <v>11</v>
      </c>
      <c r="D94" s="127">
        <v>0.78569999999999995</v>
      </c>
    </row>
    <row r="95" spans="1:8" ht="15" thickBot="1" x14ac:dyDescent="0.35"/>
    <row r="96" spans="1:8" ht="16.2" thickBot="1" x14ac:dyDescent="0.35">
      <c r="A96" s="121" t="s">
        <v>224</v>
      </c>
      <c r="B96" s="121" t="s">
        <v>193</v>
      </c>
    </row>
    <row r="97" spans="1:2" ht="16.2" thickBot="1" x14ac:dyDescent="0.35">
      <c r="A97" s="111" t="s">
        <v>36</v>
      </c>
      <c r="B97" s="111">
        <v>8</v>
      </c>
    </row>
    <row r="98" spans="1:2" ht="16.2" thickBot="1" x14ac:dyDescent="0.35">
      <c r="A98" s="114" t="s">
        <v>23</v>
      </c>
      <c r="B98" s="114">
        <v>13</v>
      </c>
    </row>
    <row r="99" spans="1:2" ht="16.2" thickBot="1" x14ac:dyDescent="0.35">
      <c r="A99" s="111" t="s">
        <v>81</v>
      </c>
      <c r="B99" s="111">
        <v>11</v>
      </c>
    </row>
  </sheetData>
  <mergeCells count="8">
    <mergeCell ref="A68:H69"/>
    <mergeCell ref="A88:H89"/>
    <mergeCell ref="A50:H51"/>
    <mergeCell ref="A1:H2"/>
    <mergeCell ref="A3:H3"/>
    <mergeCell ref="A5:H5"/>
    <mergeCell ref="A21:H22"/>
    <mergeCell ref="A36:H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Recruitment Dataset</vt:lpstr>
      <vt:lpstr>Recruitment Calculations</vt:lpstr>
      <vt:lpstr>Recruitment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Mishra</dc:creator>
  <cp:lastModifiedBy>Riya Mishra</cp:lastModifiedBy>
  <dcterms:created xsi:type="dcterms:W3CDTF">2015-06-05T18:17:20Z</dcterms:created>
  <dcterms:modified xsi:type="dcterms:W3CDTF">2026-10-05T17:36:28Z</dcterms:modified>
</cp:coreProperties>
</file>